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defaultThemeVersion="124226"/>
  <mc:AlternateContent xmlns:mc="http://schemas.openxmlformats.org/markup-compatibility/2006">
    <mc:Choice Requires="x15">
      <x15ac:absPath xmlns:x15ac="http://schemas.microsoft.com/office/spreadsheetml/2010/11/ac" url="D:\mr dung\DANH GIA TIENG ANH\KSVKL\2026\"/>
    </mc:Choice>
  </mc:AlternateContent>
  <xr:revisionPtr revIDLastSave="0" documentId="13_ncr:1_{B36CE5C0-62AA-457C-9CF9-B4FAB7B3300B}" xr6:coauthVersionLast="47" xr6:coauthVersionMax="47" xr10:uidLastSave="{00000000-0000-0000-0000-000000000000}"/>
  <bookViews>
    <workbookView xWindow="-120" yWindow="-120" windowWidth="29040" windowHeight="15225" xr2:uid="{00000000-000D-0000-FFFF-FFFF00000000}"/>
  </bookViews>
  <sheets>
    <sheet name="Du kien" sheetId="2" r:id="rId1"/>
  </sheets>
  <definedNames>
    <definedName name="_xlnm.Print_Area" localSheetId="0">'Du kien'!$A$1:$O$171</definedName>
    <definedName name="_xlnm.Print_Titles" localSheetId="0">'Du kien'!$3:$4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4" i="2" l="1"/>
  <c r="M94" i="2"/>
  <c r="L94" i="2"/>
  <c r="K94" i="2"/>
  <c r="H94" i="2"/>
  <c r="H75" i="2"/>
  <c r="M99" i="2"/>
  <c r="I94" i="2"/>
  <c r="L75" i="2"/>
  <c r="K75" i="2"/>
  <c r="J75" i="2"/>
  <c r="I75" i="2"/>
  <c r="H53" i="2"/>
  <c r="M39" i="2"/>
  <c r="L39" i="2"/>
  <c r="K39" i="2"/>
  <c r="H39" i="2"/>
  <c r="J39" i="2"/>
  <c r="M32" i="2"/>
  <c r="M7" i="2" s="1"/>
  <c r="H32" i="2"/>
  <c r="H7" i="2" s="1"/>
  <c r="H28" i="2"/>
  <c r="H8" i="2"/>
  <c r="J8" i="2"/>
  <c r="L7" i="2"/>
  <c r="K7" i="2"/>
  <c r="H61" i="2"/>
  <c r="M57" i="2"/>
  <c r="L57" i="2"/>
  <c r="K57" i="2"/>
  <c r="J57" i="2"/>
  <c r="H57" i="2"/>
  <c r="M61" i="2"/>
  <c r="L61" i="2"/>
  <c r="K61" i="2"/>
  <c r="J61" i="2"/>
  <c r="M119" i="2"/>
  <c r="J141" i="2"/>
  <c r="M68" i="2" l="1"/>
  <c r="A68" i="2"/>
  <c r="H101" i="2"/>
  <c r="A112" i="2"/>
  <c r="A113" i="2" s="1"/>
  <c r="A104" i="2"/>
  <c r="A105" i="2" s="1"/>
  <c r="A106" i="2" s="1"/>
  <c r="A107" i="2" s="1"/>
  <c r="A108" i="2" s="1"/>
  <c r="A109" i="2" s="1"/>
  <c r="A110" i="2" s="1"/>
  <c r="A103" i="2"/>
  <c r="L100" i="2"/>
  <c r="K100" i="2"/>
  <c r="L54" i="2"/>
  <c r="K142" i="2"/>
  <c r="K140" i="2"/>
  <c r="M140" i="2" s="1"/>
  <c r="K139" i="2"/>
  <c r="M139" i="2" s="1"/>
  <c r="K137" i="2"/>
  <c r="M137" i="2" s="1"/>
  <c r="K138" i="2"/>
  <c r="M138" i="2" s="1"/>
  <c r="I71" i="2"/>
  <c r="J71" i="2"/>
  <c r="H71" i="2"/>
  <c r="K74" i="2"/>
  <c r="M74" i="2" s="1"/>
  <c r="A73" i="2"/>
  <c r="A74" i="2" s="1"/>
  <c r="K113" i="2"/>
  <c r="M113" i="2" s="1"/>
  <c r="J131" i="2"/>
  <c r="L131" i="2"/>
  <c r="H131" i="2"/>
  <c r="A133" i="2"/>
  <c r="A134" i="2" s="1"/>
  <c r="A135" i="2" s="1"/>
  <c r="A136" i="2" s="1"/>
  <c r="A137" i="2" s="1"/>
  <c r="A138" i="2" s="1"/>
  <c r="L149" i="2"/>
  <c r="H149" i="2"/>
  <c r="K166" i="2"/>
  <c r="M166" i="2" s="1"/>
  <c r="K165" i="2"/>
  <c r="M165" i="2" s="1"/>
  <c r="K102" i="2"/>
  <c r="A139" i="2" l="1"/>
  <c r="A140" i="2" s="1"/>
  <c r="J98" i="2"/>
  <c r="K98" i="2" s="1"/>
  <c r="M98" i="2" s="1"/>
  <c r="J97" i="2"/>
  <c r="L97" i="2" l="1"/>
  <c r="K97" i="2"/>
  <c r="M97" i="2" l="1"/>
  <c r="K87" i="2"/>
  <c r="K81" i="2"/>
  <c r="K80" i="2"/>
  <c r="M67" i="2"/>
  <c r="K45" i="2"/>
  <c r="J45" i="2"/>
  <c r="I45" i="2"/>
  <c r="H45" i="2"/>
  <c r="L52" i="2"/>
  <c r="M52" i="2" s="1"/>
  <c r="L49" i="2" l="1"/>
  <c r="L48" i="2"/>
  <c r="M48" i="2" s="1"/>
  <c r="M66" i="2"/>
  <c r="J66" i="2"/>
  <c r="J63" i="2" s="1"/>
  <c r="M65" i="2"/>
  <c r="A65" i="2"/>
  <c r="A66" i="2" s="1"/>
  <c r="M64" i="2"/>
  <c r="L63" i="2"/>
  <c r="K63" i="2"/>
  <c r="H63" i="2"/>
  <c r="F63" i="2"/>
  <c r="M63" i="2" l="1"/>
  <c r="K120" i="2" l="1"/>
  <c r="L109" i="2"/>
  <c r="L108" i="2"/>
  <c r="K76" i="2"/>
  <c r="L47" i="2"/>
  <c r="L45" i="2" s="1"/>
  <c r="K95" i="2" l="1"/>
  <c r="L82" i="2" l="1"/>
  <c r="L81" i="2"/>
  <c r="L78" i="2"/>
  <c r="L76" i="2"/>
  <c r="L73" i="2"/>
  <c r="L71" i="2" s="1"/>
  <c r="K73" i="2"/>
  <c r="K72" i="2"/>
  <c r="K71" i="2" s="1"/>
  <c r="M43" i="2"/>
  <c r="M44" i="2"/>
  <c r="J32" i="2"/>
  <c r="J7" i="2" s="1"/>
  <c r="K32" i="2"/>
  <c r="L32" i="2"/>
  <c r="J28" i="2"/>
  <c r="L28" i="2"/>
  <c r="M34" i="2"/>
  <c r="M35" i="2"/>
  <c r="M36" i="2"/>
  <c r="M37" i="2"/>
  <c r="M38" i="2"/>
  <c r="M33" i="2"/>
  <c r="M31" i="2"/>
  <c r="M30" i="2"/>
  <c r="M22" i="2"/>
  <c r="M23" i="2"/>
  <c r="M24" i="2"/>
  <c r="M25" i="2"/>
  <c r="M26" i="2"/>
  <c r="M27" i="2"/>
  <c r="J20" i="2"/>
  <c r="K20" i="2"/>
  <c r="L20" i="2"/>
  <c r="H20" i="2"/>
  <c r="A34" i="2"/>
  <c r="A35" i="2" s="1"/>
  <c r="A36" i="2" s="1"/>
  <c r="A37" i="2" s="1"/>
  <c r="A38" i="2" s="1"/>
  <c r="A30" i="2"/>
  <c r="A31" i="2" s="1"/>
  <c r="I17" i="2"/>
  <c r="J17" i="2"/>
  <c r="K17" i="2"/>
  <c r="L17" i="2"/>
  <c r="H17" i="2"/>
  <c r="M16" i="2"/>
  <c r="J14" i="2"/>
  <c r="K14" i="2"/>
  <c r="L14" i="2"/>
  <c r="H14" i="2"/>
  <c r="J9" i="2"/>
  <c r="K9" i="2"/>
  <c r="L9" i="2"/>
  <c r="H9" i="2"/>
  <c r="M11" i="2"/>
  <c r="M10" i="2"/>
  <c r="L169" i="2"/>
  <c r="L168" i="2"/>
  <c r="M168" i="2" s="1"/>
  <c r="K167" i="2"/>
  <c r="J167" i="2"/>
  <c r="H167" i="2"/>
  <c r="K164" i="2"/>
  <c r="M164" i="2" s="1"/>
  <c r="J164" i="2"/>
  <c r="K163" i="2"/>
  <c r="M163" i="2" s="1"/>
  <c r="J163" i="2"/>
  <c r="K162" i="2"/>
  <c r="M162" i="2" s="1"/>
  <c r="J162" i="2"/>
  <c r="K161" i="2"/>
  <c r="M161" i="2" s="1"/>
  <c r="J161" i="2"/>
  <c r="K160" i="2"/>
  <c r="M160" i="2" s="1"/>
  <c r="J160" i="2"/>
  <c r="K159" i="2"/>
  <c r="M159" i="2" s="1"/>
  <c r="J159" i="2"/>
  <c r="K158" i="2"/>
  <c r="M158" i="2" s="1"/>
  <c r="J158" i="2"/>
  <c r="K157" i="2"/>
  <c r="M157" i="2" s="1"/>
  <c r="K156" i="2"/>
  <c r="M156" i="2" s="1"/>
  <c r="J156" i="2"/>
  <c r="K155" i="2"/>
  <c r="M155" i="2" s="1"/>
  <c r="J155" i="2"/>
  <c r="K154" i="2"/>
  <c r="M154" i="2" s="1"/>
  <c r="J154" i="2"/>
  <c r="K153" i="2"/>
  <c r="M153" i="2" s="1"/>
  <c r="J153" i="2"/>
  <c r="K152" i="2"/>
  <c r="K151" i="2"/>
  <c r="M151" i="2" s="1"/>
  <c r="J151" i="2"/>
  <c r="A151" i="2"/>
  <c r="A152" i="2" s="1"/>
  <c r="A153" i="2" s="1"/>
  <c r="A154" i="2" s="1"/>
  <c r="A155" i="2" s="1"/>
  <c r="A156" i="2" s="1"/>
  <c r="A157" i="2" s="1"/>
  <c r="A158" i="2" s="1"/>
  <c r="A159" i="2" s="1"/>
  <c r="A160" i="2" s="1"/>
  <c r="A161" i="2" s="1"/>
  <c r="A162" i="2" s="1"/>
  <c r="A163" i="2" s="1"/>
  <c r="A164" i="2" s="1"/>
  <c r="A165" i="2" s="1"/>
  <c r="A166" i="2" s="1"/>
  <c r="K150" i="2"/>
  <c r="K146" i="2"/>
  <c r="M146" i="2" s="1"/>
  <c r="K145" i="2"/>
  <c r="M145" i="2" s="1"/>
  <c r="K144" i="2"/>
  <c r="M144" i="2" s="1"/>
  <c r="K143" i="2"/>
  <c r="M143" i="2" s="1"/>
  <c r="L141" i="2"/>
  <c r="H141" i="2"/>
  <c r="K136" i="2"/>
  <c r="M136" i="2" s="1"/>
  <c r="K135" i="2"/>
  <c r="M135" i="2" s="1"/>
  <c r="K134" i="2"/>
  <c r="M134" i="2" s="1"/>
  <c r="K133" i="2"/>
  <c r="M133" i="2" s="1"/>
  <c r="K132" i="2"/>
  <c r="K129" i="2"/>
  <c r="L128" i="2"/>
  <c r="J128" i="2"/>
  <c r="H128" i="2"/>
  <c r="K127" i="2"/>
  <c r="L126" i="2"/>
  <c r="J126" i="2"/>
  <c r="H126" i="2"/>
  <c r="L119" i="2"/>
  <c r="J119" i="2"/>
  <c r="H119" i="2"/>
  <c r="K118" i="2"/>
  <c r="L117" i="2"/>
  <c r="J117" i="2"/>
  <c r="I117" i="2"/>
  <c r="H117" i="2"/>
  <c r="K112" i="2"/>
  <c r="K111" i="2"/>
  <c r="M111" i="2" s="1"/>
  <c r="L110" i="2"/>
  <c r="K110" i="2"/>
  <c r="K109" i="2"/>
  <c r="K108" i="2"/>
  <c r="K115" i="2"/>
  <c r="L114" i="2"/>
  <c r="J114" i="2"/>
  <c r="I114" i="2"/>
  <c r="H114" i="2"/>
  <c r="K107" i="2"/>
  <c r="M107" i="2" s="1"/>
  <c r="K106" i="2"/>
  <c r="M106" i="2" s="1"/>
  <c r="K105" i="2"/>
  <c r="K104" i="2"/>
  <c r="M104" i="2" s="1"/>
  <c r="L103" i="2"/>
  <c r="K103" i="2"/>
  <c r="L102" i="2"/>
  <c r="L101" i="2" s="1"/>
  <c r="J101" i="2"/>
  <c r="I101" i="2"/>
  <c r="L99" i="2"/>
  <c r="J99" i="2"/>
  <c r="I99" i="2"/>
  <c r="H99" i="2"/>
  <c r="K96" i="2"/>
  <c r="M96" i="2" s="1"/>
  <c r="A96" i="2"/>
  <c r="A97" i="2" s="1"/>
  <c r="A98" i="2" s="1"/>
  <c r="M95" i="2"/>
  <c r="K93" i="2"/>
  <c r="M93" i="2" s="1"/>
  <c r="L87" i="2"/>
  <c r="K86" i="2"/>
  <c r="M86" i="2" s="1"/>
  <c r="L85" i="2"/>
  <c r="K85" i="2"/>
  <c r="L84" i="2"/>
  <c r="K84" i="2"/>
  <c r="L83" i="2"/>
  <c r="K83" i="2"/>
  <c r="K82" i="2"/>
  <c r="M80" i="2"/>
  <c r="K79" i="2"/>
  <c r="M79" i="2" s="1"/>
  <c r="K78" i="2"/>
  <c r="K77" i="2"/>
  <c r="M77" i="2" s="1"/>
  <c r="J70" i="2"/>
  <c r="H70" i="2"/>
  <c r="A67" i="2"/>
  <c r="M62" i="2"/>
  <c r="M60" i="2"/>
  <c r="M59" i="2"/>
  <c r="A59" i="2"/>
  <c r="A60" i="2" s="1"/>
  <c r="K58" i="2"/>
  <c r="J55" i="2"/>
  <c r="K55" i="2" s="1"/>
  <c r="M55" i="2" s="1"/>
  <c r="J54" i="2"/>
  <c r="L53" i="2"/>
  <c r="M49" i="2"/>
  <c r="A47" i="2"/>
  <c r="M46" i="2"/>
  <c r="A45" i="2"/>
  <c r="A53" i="2" s="1"/>
  <c r="M42" i="2"/>
  <c r="M41" i="2"/>
  <c r="A41" i="2"/>
  <c r="A42" i="2" s="1"/>
  <c r="A43" i="2" s="1"/>
  <c r="A44" i="2" s="1"/>
  <c r="M40" i="2"/>
  <c r="K28" i="2"/>
  <c r="A28" i="2"/>
  <c r="M21" i="2"/>
  <c r="M18" i="2"/>
  <c r="M17" i="2" s="1"/>
  <c r="M15" i="2"/>
  <c r="M13" i="2"/>
  <c r="M12" i="2" s="1"/>
  <c r="J13" i="2"/>
  <c r="J12" i="2" s="1"/>
  <c r="L12" i="2"/>
  <c r="K12" i="2"/>
  <c r="I12" i="2"/>
  <c r="H12" i="2"/>
  <c r="A12" i="2"/>
  <c r="A14" i="2" s="1"/>
  <c r="A17" i="2" s="1"/>
  <c r="A20" i="2" s="1"/>
  <c r="B5" i="2"/>
  <c r="M112" i="2" l="1"/>
  <c r="K101" i="2"/>
  <c r="K131" i="2"/>
  <c r="J149" i="2"/>
  <c r="J130" i="2" s="1"/>
  <c r="M150" i="2"/>
  <c r="K149" i="2"/>
  <c r="M9" i="2"/>
  <c r="A48" i="2"/>
  <c r="A49" i="2" s="1"/>
  <c r="A50" i="2" s="1"/>
  <c r="A51" i="2" s="1"/>
  <c r="A52" i="2" s="1"/>
  <c r="M103" i="2"/>
  <c r="M20" i="2"/>
  <c r="M84" i="2"/>
  <c r="M73" i="2"/>
  <c r="M109" i="2"/>
  <c r="H130" i="2"/>
  <c r="J116" i="2"/>
  <c r="L116" i="2"/>
  <c r="L130" i="2"/>
  <c r="L70" i="2"/>
  <c r="H116" i="2"/>
  <c r="M87" i="2"/>
  <c r="M14" i="2"/>
  <c r="M82" i="2"/>
  <c r="M129" i="2"/>
  <c r="M128" i="2" s="1"/>
  <c r="K128" i="2"/>
  <c r="M47" i="2"/>
  <c r="M45" i="2" s="1"/>
  <c r="M100" i="2"/>
  <c r="K99" i="2"/>
  <c r="M108" i="2"/>
  <c r="M110" i="2"/>
  <c r="M152" i="2"/>
  <c r="M76" i="2"/>
  <c r="K8" i="2"/>
  <c r="L8" i="2"/>
  <c r="M127" i="2"/>
  <c r="M126" i="2" s="1"/>
  <c r="K126" i="2"/>
  <c r="M102" i="2"/>
  <c r="M132" i="2"/>
  <c r="M131" i="2" s="1"/>
  <c r="M120" i="2"/>
  <c r="K119" i="2"/>
  <c r="M81" i="2"/>
  <c r="M85" i="2"/>
  <c r="M105" i="2"/>
  <c r="M78" i="2"/>
  <c r="M83" i="2"/>
  <c r="M169" i="2"/>
  <c r="M167" i="2" s="1"/>
  <c r="L167" i="2"/>
  <c r="M142" i="2"/>
  <c r="M141" i="2" s="1"/>
  <c r="K141" i="2"/>
  <c r="M118" i="2"/>
  <c r="M117" i="2" s="1"/>
  <c r="K117" i="2"/>
  <c r="M115" i="2"/>
  <c r="M114" i="2" s="1"/>
  <c r="K114" i="2"/>
  <c r="M72" i="2"/>
  <c r="M71" i="2" s="1"/>
  <c r="M58" i="2"/>
  <c r="K54" i="2"/>
  <c r="J53" i="2"/>
  <c r="M29" i="2"/>
  <c r="M28" i="2" s="1"/>
  <c r="A54" i="2"/>
  <c r="A55" i="2" s="1"/>
  <c r="A56" i="2"/>
  <c r="A57" i="2" s="1"/>
  <c r="M101" i="2" l="1"/>
  <c r="K70" i="2"/>
  <c r="M149" i="2"/>
  <c r="M130" i="2" s="1"/>
  <c r="M8" i="2"/>
  <c r="J69" i="2"/>
  <c r="H69" i="2"/>
  <c r="H6" i="2" s="1"/>
  <c r="L69" i="2"/>
  <c r="M54" i="2"/>
  <c r="M53" i="2" s="1"/>
  <c r="K53" i="2"/>
  <c r="K130" i="2"/>
  <c r="M116" i="2"/>
  <c r="K116" i="2"/>
  <c r="M75" i="2"/>
  <c r="M70" i="2" l="1"/>
  <c r="M69" i="2" s="1"/>
  <c r="J6" i="2"/>
  <c r="L6" i="2"/>
  <c r="K69" i="2"/>
  <c r="K6" i="2" s="1"/>
  <c r="M6" i="2" l="1"/>
  <c r="O7" i="2" l="1"/>
  <c r="M171" i="2"/>
</calcChain>
</file>

<file path=xl/sharedStrings.xml><?xml version="1.0" encoding="utf-8"?>
<sst xmlns="http://schemas.openxmlformats.org/spreadsheetml/2006/main" count="585" uniqueCount="402">
  <si>
    <t>TCT</t>
  </si>
  <si>
    <t>HLVKL, KSVKL</t>
  </si>
  <si>
    <t>Theo kế hoạch TCT</t>
  </si>
  <si>
    <t>TCT/Phòng TCCB</t>
  </si>
  <si>
    <t>HL bay làm quen</t>
  </si>
  <si>
    <t>Bay làm quen</t>
  </si>
  <si>
    <t>III</t>
  </si>
  <si>
    <t>CBNV</t>
  </si>
  <si>
    <t>Theo thực tế</t>
  </si>
  <si>
    <t>Phòng KT/TTBĐKT</t>
  </si>
  <si>
    <t>NKVT đội cơ điện</t>
  </si>
  <si>
    <t>NVKT Đội Quy Nhơn</t>
  </si>
  <si>
    <t>NVKT Đội KTKT</t>
  </si>
  <si>
    <t>Phòng KT/Cam Ranh</t>
  </si>
  <si>
    <t>HL bồi dưỡng, nâng cao (bổ túc, bổ sung, cập nhật…)</t>
  </si>
  <si>
    <t>HL phục hồi</t>
  </si>
  <si>
    <t>HL chuyển loại</t>
  </si>
  <si>
    <t>Phòng KT/TT BĐKT</t>
  </si>
  <si>
    <t>NVKT  đội Radar Sơn Trà</t>
  </si>
  <si>
    <t>NVKT  đội Radar Quy Nhơn</t>
  </si>
  <si>
    <t>HL định kỳ</t>
  </si>
  <si>
    <t>HL năng định</t>
  </si>
  <si>
    <t>Khối Kỹ thuật</t>
  </si>
  <si>
    <t>II.3</t>
  </si>
  <si>
    <t>PKL/TT KTHKDN</t>
  </si>
  <si>
    <t>Nhân viên MET TH</t>
  </si>
  <si>
    <t>HL định kỳ cho NV MET TH</t>
  </si>
  <si>
    <t>2.6</t>
  </si>
  <si>
    <t>Nhân viên MET CL</t>
  </si>
  <si>
    <t>HL định kỳ cho NV MET CL</t>
  </si>
  <si>
    <t>2.5</t>
  </si>
  <si>
    <t>Nhân viên MET PC</t>
  </si>
  <si>
    <t>HL định kỳ cho NV MET PC</t>
  </si>
  <si>
    <t>2.4</t>
  </si>
  <si>
    <t>Nhân viên MET PB</t>
  </si>
  <si>
    <t>HL định kỳ cho NV MET PB</t>
  </si>
  <si>
    <t>2.3</t>
  </si>
  <si>
    <t>Nhân viên MET PK</t>
  </si>
  <si>
    <t>HL định kỳ cho NV MET PK</t>
  </si>
  <si>
    <t>2.2</t>
  </si>
  <si>
    <t>Nhân viên MET CR</t>
  </si>
  <si>
    <t>HL định kỳ cho NV MET CR</t>
  </si>
  <si>
    <t>2.1</t>
  </si>
  <si>
    <t>PKL</t>
  </si>
  <si>
    <t>Nhân viên MET</t>
  </si>
  <si>
    <t>Khối Khí tượng HK</t>
  </si>
  <si>
    <t>II.2</t>
  </si>
  <si>
    <t>PKL/TCTSDN</t>
  </si>
  <si>
    <t xml:space="preserve">KSVKL </t>
  </si>
  <si>
    <t>Huấn luyện thi tiếng Anh Level 4 cho KSVKL</t>
  </si>
  <si>
    <t>6.1</t>
  </si>
  <si>
    <t xml:space="preserve"> PKL/PKT/CR</t>
  </si>
  <si>
    <t>KSVKL</t>
  </si>
  <si>
    <t>HL bổ sung, cập nhật kiến thức Kỹ thuật cho KSVKL DN, CR</t>
  </si>
  <si>
    <t>PKL/TTKSTCTSDN</t>
  </si>
  <si>
    <t>Huấn luyện bổ túc sau vi phạm ATB</t>
  </si>
  <si>
    <t>5.1</t>
  </si>
  <si>
    <t>HL phục hồi cho KSVKL</t>
  </si>
  <si>
    <t>PKL/TCTSĐN</t>
  </si>
  <si>
    <t>SIG DN</t>
  </si>
  <si>
    <t>HL định kỳ cho NV SIG APP/TWR DN</t>
  </si>
  <si>
    <t>SIG CR</t>
  </si>
  <si>
    <t>HL định kỳ cho NV SIG APP/TWR CR</t>
  </si>
  <si>
    <t>SIG PK</t>
  </si>
  <si>
    <t>HL định kỳ cho NV SIG PK TWR</t>
  </si>
  <si>
    <t>SIG TH</t>
  </si>
  <si>
    <t>HL định kỳ cho NV SIG TH TWR</t>
  </si>
  <si>
    <t>SIG PC</t>
  </si>
  <si>
    <t>HL định kỳ cho NV SIG PC TWR</t>
  </si>
  <si>
    <t>SIG CL</t>
  </si>
  <si>
    <t>HL định kỳ cho NV SIG CL TWR</t>
  </si>
  <si>
    <t>SIG PB</t>
  </si>
  <si>
    <t>HL định kỳ cho NV SIG PB TWR</t>
  </si>
  <si>
    <t>PKL/TCTS ĐN</t>
  </si>
  <si>
    <t>NV TBB</t>
  </si>
  <si>
    <t>HL định kỳ cho NV TBB</t>
  </si>
  <si>
    <t>PKL/TH</t>
  </si>
  <si>
    <t>HL định kỳ cho KSVKL có năng định TH TWR</t>
  </si>
  <si>
    <t>PKL/PC</t>
  </si>
  <si>
    <t>KSVKL TWR PC</t>
  </si>
  <si>
    <t>PKL/PK</t>
  </si>
  <si>
    <t>KSVKL TWR PK</t>
  </si>
  <si>
    <t>PKL/CL</t>
  </si>
  <si>
    <t>KSVKL TWR CL và ĐN</t>
  </si>
  <si>
    <t>HL định kỳ cho KSVKL có năng định CL TWR</t>
  </si>
  <si>
    <t>PKL/PB</t>
  </si>
  <si>
    <t>HL định kỳ cho KSVKL  có năng định có năng định PB TWR</t>
  </si>
  <si>
    <t>KSVKL APP/TWR DN, CR</t>
  </si>
  <si>
    <t>KSVKL APP/TWR DN</t>
  </si>
  <si>
    <t>PKL/TCTSDN/CR</t>
  </si>
  <si>
    <t>KSVKL APP/TWR CR</t>
  </si>
  <si>
    <t>Kíp trưởng DN</t>
  </si>
  <si>
    <t>HL định kỳ năng định Kíp trưởng KL APP/TWR ĐN</t>
  </si>
  <si>
    <t>Kíp trưởng CR</t>
  </si>
  <si>
    <t>HL định kỳ năng định Kíp trưởng KL APP/TWR CR</t>
  </si>
  <si>
    <t>KSVKL ĐN, CR</t>
  </si>
  <si>
    <t>HL năng định Kíp trưởng Không lưu</t>
  </si>
  <si>
    <t>HL năng định cho KSVKL mới tuyển dụng</t>
  </si>
  <si>
    <t>Khối Không Lưu</t>
  </si>
  <si>
    <t>II.1</t>
  </si>
  <si>
    <t>II</t>
  </si>
  <si>
    <t>TCT thực hiện</t>
  </si>
  <si>
    <t>Theo quy định</t>
  </si>
  <si>
    <t>TCT/ Phòng TCCB</t>
  </si>
  <si>
    <t>NV chưa có CCCM/ MTD</t>
  </si>
  <si>
    <t>Chứng chỉ chuyên môn nhân viên hàng không</t>
  </si>
  <si>
    <t>Đơn vị thuê ngoài/ Ban chỉ huy Quân sự</t>
  </si>
  <si>
    <t>Lực lượng tự vệ Công ty</t>
  </si>
  <si>
    <t>HL Quân sự giáo dục chính trị cho lực lượng tự vệ</t>
  </si>
  <si>
    <t>TCT/ Ban chỉ huy Quân sự</t>
  </si>
  <si>
    <t>Đối tượng 3</t>
  </si>
  <si>
    <t>Bồi dưỡng kiến thức QP-AN</t>
  </si>
  <si>
    <t>TCT t/h</t>
  </si>
  <si>
    <t>HL PCCC-CNCH</t>
  </si>
  <si>
    <t>Đơn vị thuê ngoài/ Phòng TCCB-LĐ</t>
  </si>
  <si>
    <t>HL ATVSLĐ</t>
  </si>
  <si>
    <t>Nhân viên SIG, nhân viên lái xe</t>
  </si>
  <si>
    <t>HL định kỳ Hàng hóa nguy hiểm cho nhân viên Điều khiển xe ô tô thông thường</t>
  </si>
  <si>
    <t>HL định kỳ KTC về HKDD và Điều khiển xe ô tô thông thường</t>
  </si>
  <si>
    <t>Điều khiển xe ô tô thông thường</t>
  </si>
  <si>
    <t>CTP</t>
  </si>
  <si>
    <t>Nhân viên ANKS</t>
  </si>
  <si>
    <t>Nhân viên ANS</t>
  </si>
  <si>
    <t>An ninh hàng không</t>
  </si>
  <si>
    <t>Nghiệp vụ AT-CL&amp;AN</t>
  </si>
  <si>
    <t>Quân chủng PKKQ/
Phòng KL</t>
  </si>
  <si>
    <t>Cán bộ, Lãnh đạo, KSVKL, CBNV thuộc QC PKKQ</t>
  </si>
  <si>
    <t>Không lưu</t>
  </si>
  <si>
    <t>1.5.1</t>
  </si>
  <si>
    <t xml:space="preserve">Bồi dưỡng kỹ năng nghiệp vụ khác </t>
  </si>
  <si>
    <t xml:space="preserve">Theo thực tế </t>
  </si>
  <si>
    <t>1.4.1</t>
  </si>
  <si>
    <t>Bồi dưỡng chuyên môn nghiệp vụ kế hoạch: Quản lý dự án, XDCB, đầu tư…</t>
  </si>
  <si>
    <t>1.3.1</t>
  </si>
  <si>
    <t>Bồi dưỡng, tập huấn nâng cao chuyên môn nghiệp vụ Tài chính</t>
  </si>
  <si>
    <t>1.2.1</t>
  </si>
  <si>
    <t>Bồi dưỡng, tập huấn nâng cao chuyên môn nghiệp vụ LĐTL, Bảo hiểm…</t>
  </si>
  <si>
    <t>1.1.1</t>
  </si>
  <si>
    <t>Bồi dưỡng nghiệp vụ hành chính, văn phòng.</t>
  </si>
  <si>
    <t>Chuyên môn nghiệp vụ</t>
  </si>
  <si>
    <t>I</t>
  </si>
  <si>
    <t>ĐTHL TRONG NƯỚC</t>
  </si>
  <si>
    <t>A</t>
  </si>
  <si>
    <t>OJT</t>
  </si>
  <si>
    <t>LT+TH</t>
  </si>
  <si>
    <t>Ghi chú</t>
  </si>
  <si>
    <t>Kinh phí</t>
  </si>
  <si>
    <t>Tổng số người</t>
  </si>
  <si>
    <t xml:space="preserve">Số người/
lớp
</t>
  </si>
  <si>
    <t>Số lớp</t>
  </si>
  <si>
    <t xml:space="preserve">Thời gian (số ngày) </t>
  </si>
  <si>
    <t xml:space="preserve">Đối tượng </t>
  </si>
  <si>
    <t>Nội dung</t>
  </si>
  <si>
    <t>TT</t>
  </si>
  <si>
    <t>Huấn luyện năng định và tại vị trí làm việc</t>
  </si>
  <si>
    <t>Kế hoạch tuyển dụng + nhu cầu</t>
  </si>
  <si>
    <t>Huấn luyện định kỳ</t>
  </si>
  <si>
    <t>KSVKL TWR PB</t>
  </si>
  <si>
    <t>HL định kỳ cho KSVK có năng định PK TWR</t>
  </si>
  <si>
    <t>HL định kỳ cho KSVKL có năng định PC TWR</t>
  </si>
  <si>
    <t>KSVKL TWR TH</t>
  </si>
  <si>
    <t>Huấn luyện chuyển loại/ chuyển đổi</t>
  </si>
  <si>
    <t>Huấn luyện chuyển loại từ ADC sang APS ĐN</t>
  </si>
  <si>
    <t>Huấn luyện phục hồi</t>
  </si>
  <si>
    <t>Huấn luyện bồi dưỡng, nâng cao (bổ túc, bổ sung, cập nhật…)</t>
  </si>
  <si>
    <t>Huấn luyện bổ sung cho NV SIG sau đánh giá năng lực không đạt kết quả</t>
  </si>
  <si>
    <t>NV SIG</t>
  </si>
  <si>
    <t xml:space="preserve">PKL </t>
  </si>
  <si>
    <t>Huấn luyện bổ sung cho KSVKL sau đánh giá năng lực không đạt kết quả</t>
  </si>
  <si>
    <t>CB Trung tâm/Cán bộ Đài/Cán bộ kíp/ KSVKL</t>
  </si>
  <si>
    <t>PKL (Mời Trung tâm TBTTHK)</t>
  </si>
  <si>
    <t>Huấn luyện phối hợp ATFM cho KSVKL</t>
  </si>
  <si>
    <t>PKL (Mời Trung tâm  KSLKL)</t>
  </si>
  <si>
    <t>Huấn luyện thi tiếng Anh Level 4</t>
  </si>
  <si>
    <t xml:space="preserve">Huấn luyện sử dụng SIM3D cho HLVKL thuộc QLBMT </t>
  </si>
  <si>
    <t>HLVKL QLBMT</t>
  </si>
  <si>
    <t>Huấn luyện năng định</t>
  </si>
  <si>
    <t>NV MET</t>
  </si>
  <si>
    <t>PKL/TT KTHK</t>
  </si>
  <si>
    <t xml:space="preserve">Huấn luyện bổ túc sau khi đánh giá năng lực không đạt </t>
  </si>
  <si>
    <t xml:space="preserve">NV MET </t>
  </si>
  <si>
    <t>HL năng định và tại vị trí làm việc</t>
  </si>
  <si>
    <t>HL năng định và tại vị trí làm việc KT, BD VHF và VCCS</t>
  </si>
  <si>
    <t>nhân viên MTD năm 2027</t>
  </si>
  <si>
    <t>Chưa phân kỳ</t>
  </si>
  <si>
    <t>Phụ thuộc vào kế hoạch tuyển dụng của TCT</t>
  </si>
  <si>
    <t xml:space="preserve">HL năng định và tại vị trí làm việc KT, BD RDP </t>
  </si>
  <si>
    <t xml:space="preserve">HL năng định và tại vị trí làm việc KT, BD VHF </t>
  </si>
  <si>
    <t>HL năng định và tại vị trí làm việc KT, BD VCCS</t>
  </si>
  <si>
    <t xml:space="preserve">HL năng định và tại vị trí làm việc KT, BD PSR/SSR </t>
  </si>
  <si>
    <t>HL định kỳ KT, BD PSR/SSR cho NVKT của Đội radar Sơn Trà- TT BĐKT</t>
  </si>
  <si>
    <t>HL định kỳ KT, BD SSR cho NVKT của Đội radar Quy Nhơn - TT BĐKT</t>
  </si>
  <si>
    <t>Cường, Khánh, Trường (10/2027)</t>
  </si>
  <si>
    <t>HL định kỳ KT, BD VHF cho NVKT của Đội radar Quy Nhơn- TT BĐKT và Cam Ranh</t>
  </si>
  <si>
    <t>NVKT  đội Radar Quy Nhơn và Cam Ranh</t>
  </si>
  <si>
    <t xml:space="preserve"> - Lê  Minh Trung (10/2027;
- Hữu Hùng (9/2027)
- Đặng Đình Khôi, Trung Thành (11/2027)
- Văn Danh (11/2027)</t>
  </si>
  <si>
    <t>HL định kỳ KT,BD VHF cho NVKT của đài KSKL Phú Bài</t>
  </si>
  <si>
    <t>NVKT Phú Bài, Cam Ranh</t>
  </si>
  <si>
    <t>Phạm trung đức (10/2027)</t>
  </si>
  <si>
    <t>HL định kỳ KT, BD VCCS cho NVKT của các đài KSKL Phú Bài</t>
  </si>
  <si>
    <t>NVKT đài KSKL Phú Bài</t>
  </si>
  <si>
    <t>Phạm Trung đức (10/2027)</t>
  </si>
  <si>
    <t xml:space="preserve">HL cập nhật, bổ sung kiến thức khai thác, bảo dưỡng, XLSC thiết bị khí tượng </t>
  </si>
  <si>
    <t>2 lớp HL</t>
  </si>
  <si>
    <t>HL cập nhật bổ sung kiến thức khai thác, bảo dưỡng, XLSC thiết bị điện nguồn tại Đội radar Sơn Trà</t>
  </si>
  <si>
    <t>NVKT Đội Sơn Trà</t>
  </si>
  <si>
    <t>HL cập nhật bổ sung kiến thức khai thác, bảo dưỡng, XLSC thiết bị thông tin tại Đội radar Sơn Trà</t>
  </si>
  <si>
    <t>HL cập nhật bổ sung kiến thức khai thác, bảo dưỡng, XLSC thiết bị radar tại Đội radar Sơn Trà</t>
  </si>
  <si>
    <t>HL cập nhật kiến thức khai thác, bảo dưỡng, XLSC thiết bị điện nguồn tại Đội radar Quy Nhơn</t>
  </si>
  <si>
    <t>HL cập nhật kiến thức  khai thác, bảo dưỡng, XLSC thiết bị thông tin tại Đội radar Quy Nhơn</t>
  </si>
  <si>
    <t>HL cập nhật kiến thức kiến thức khai thác bảo dưỡng thiết bị điện nguồn tại CTQLBMT</t>
  </si>
  <si>
    <t>HL cập nhật bổ sung kiến thức chuyên môn cho NVKT Đội TT</t>
  </si>
  <si>
    <t>NVKT Đội Thông tin</t>
  </si>
  <si>
    <t xml:space="preserve">HL cập nhật, bổ sung kiến thức chuyên môn cho NVKT </t>
  </si>
  <si>
    <t>NVKT Đài KSKL Phú Bài</t>
  </si>
  <si>
    <t>Phòng KT/Phú Bài</t>
  </si>
  <si>
    <t>NVKT Đài KSKL Chu Lai</t>
  </si>
  <si>
    <t>Phòng KT/Chu Lai</t>
  </si>
  <si>
    <t>NVKT Đài KSKL Phù Cát</t>
  </si>
  <si>
    <t>Phòng KT/Phù Cát</t>
  </si>
  <si>
    <t>NVKT Đài KSKLPleiku</t>
  </si>
  <si>
    <t>Phòng KT/Pleiku</t>
  </si>
  <si>
    <t>NVKT Đài KSKL Tuy Hòa</t>
  </si>
  <si>
    <t>Phòng KT/Tuy Hòa</t>
  </si>
  <si>
    <t>2 đợt HL</t>
  </si>
  <si>
    <t>NVKT TT KSTCTS Cam Ranh</t>
  </si>
  <si>
    <t>HL nâng cao kỹ năng hiệp đồng QS cho KSVKL, xử lý vướng mắc trong công tác hiệp đồng với các đơn vị quân sự</t>
  </si>
  <si>
    <t>Khóa huấn luyện định kỳ giám sát viên an ninh nội bộ</t>
  </si>
  <si>
    <t>Cán bộ, nhân viên Phòng ATCLAN</t>
  </si>
  <si>
    <t>Khóa huấn luyện định kỳ nghiệp vụ quản lý ANHK</t>
  </si>
  <si>
    <t>Cán bộ quản lý và chuyên viên</t>
  </si>
  <si>
    <t>Tạm tính theo đơn giá của đơn vị HL năm 2026</t>
  </si>
  <si>
    <t xml:space="preserve">2 đơt lý thuyết, 2 đợt TH </t>
  </si>
  <si>
    <t xml:space="preserve">2 đợt lý thuyết, 5 đợt TH </t>
  </si>
  <si>
    <t>2 đợt lý thuyết, 4 đợt TH</t>
  </si>
  <si>
    <t>2 đơt lý thuyết, 2 đợt TH</t>
  </si>
  <si>
    <t>HL về phương thức bay, qui hoạch sử dụng vùng trời</t>
  </si>
  <si>
    <t>Huấn luyện Phi công giả định SCAN, MAXSIM, SIM3D cho KSVKL làm PCGĐ</t>
  </si>
  <si>
    <t>KSVKL phân công làm PCGĐ</t>
  </si>
  <si>
    <t xml:space="preserve">HL khai thác SIM3D, làm quen MAXSIM) cho KSVKL </t>
  </si>
  <si>
    <t>Huấn luyện cho toàn bộ KSVKL về nhận thức rủi ro về xử lý cảnh báo MSAW, xử lý khi có cảnh báo va chạm trên không (ACAS/TCAS), quản lý xung đột (STCA, MTCD).</t>
  </si>
  <si>
    <t>2 lớp LT, TH 3 lớp</t>
  </si>
  <si>
    <t>LT 2 lớp, TH 4 lớp</t>
  </si>
  <si>
    <t xml:space="preserve"> LT (3 lớp trực tuyến)
TH (Kết hợp HLĐK)
Riêng MAXSIM chỉ HL cho CR,ĐN </t>
  </si>
  <si>
    <t>2 lớp (Mỗi lớp 2 ngày gồm 3 nội dung  MSAW, xử lý khi có cảnh báo va chạm trên không (ACAS/TCAS), quản lý xung đột (STCA, MTCD), mỗi nội dung 4 tiết
Th10/2026 hoàn thành huấn luyện_Đ1.Q4/2026 bổ sung kế hoạch huấn luyện định kỳ hàng năm</t>
  </si>
  <si>
    <t>HL định kỳ cho KSVKL có năng định APP/TWR CR</t>
  </si>
  <si>
    <t>HL định kỳ cho KSVKL có năng định APP/TWR DN</t>
  </si>
  <si>
    <t xml:space="preserve">2 đơt lý thuyết, 4 đợt TH </t>
  </si>
  <si>
    <t xml:space="preserve">   Ban chỉ huy PCCC&amp;CNCH,  Các Đội PCCC&amp;CNCH cơ sở</t>
  </si>
  <si>
    <t xml:space="preserve"> tại  Đà Nẵng, Chu Lai, Phú Bài, Tuy Hòa, Cam Ranh, Pleiku, Quy Nhơn, Phù Cát</t>
  </si>
  <si>
    <t>Ban chỉ huy PCCC&amp;CNCH</t>
  </si>
  <si>
    <t xml:space="preserve">2 đợt lý thuyết, 4 đợt TH </t>
  </si>
  <si>
    <t xml:space="preserve">2 đơt lý thuyết, 2 đợt TH/đơn vị </t>
  </si>
  <si>
    <t>Dự kiến 1 lớp</t>
  </si>
  <si>
    <t xml:space="preserve">Dự kiến 1 lớp </t>
  </si>
  <si>
    <t>Theo KH tuyển dụng của TCT</t>
  </si>
  <si>
    <t xml:space="preserve">Người được phân công thực hiện kiểm tra  PCCC </t>
  </si>
  <si>
    <t>Người đứng đầu cơ sở</t>
  </si>
  <si>
    <t>Quốc tế: DN(3), CR (2)</t>
  </si>
  <si>
    <t>Quốc nội: DN(1), PC(2), TH(4)</t>
  </si>
  <si>
    <t>HL định kỳ cho KSVKL ĐN có năng định APP/CR</t>
  </si>
  <si>
    <t>Khóa huấn luyện định kỳ kiến thức ANHK cho nhân viên ANS</t>
  </si>
  <si>
    <t>HL PCTT - TKCN</t>
  </si>
  <si>
    <t xml:space="preserve">Thành viên Đội TKCN hiện trường </t>
  </si>
  <si>
    <t>Huấn luyện nghiệp vụ TKCN</t>
  </si>
  <si>
    <t>Hệ thống QLCL- lớp nhận thức về HTQLCL</t>
  </si>
  <si>
    <t>Hệ thống QLCL- các lớp nâng cao  về HTQLCL</t>
  </si>
  <si>
    <t>cán bộ Công ty, chuyên viên phòng ATCLAN</t>
  </si>
  <si>
    <t>Khóa huấn luyện SMS cơ bản</t>
  </si>
  <si>
    <t>Nhân viên mới được tuyển dụng</t>
  </si>
  <si>
    <t>Nhân viên mới được tuyển dụng.</t>
  </si>
  <si>
    <t xml:space="preserve">KSVKL APP/TWR DN  </t>
  </si>
  <si>
    <t xml:space="preserve">KSVKL APP/TWR CR  </t>
  </si>
  <si>
    <t>PKL/TCTS CR</t>
  </si>
  <si>
    <t>Huấn luyện chuyển loại từ ADC sang APS CR</t>
  </si>
  <si>
    <t>CTP Khoán</t>
  </si>
  <si>
    <t>Khóa huấn luyện định kỳ kỹ năng tự vệ</t>
  </si>
  <si>
    <t>Bồi dưỡng nghiệp vụ PCCC - CNCH</t>
  </si>
  <si>
    <t>Nơi đào tạo/Cơ sở đào tạo dự kiến (Hoặc đơn vị chủ trì)</t>
  </si>
  <si>
    <t>Đơn vị thực hiện</t>
  </si>
  <si>
    <t xml:space="preserve">Chi đào tạo </t>
  </si>
  <si>
    <t>Chi khác (CTP, đi lại, lưu trú)</t>
  </si>
  <si>
    <t>Tổng</t>
  </si>
  <si>
    <t xml:space="preserve">Tiến độ/ Phân kỳ thực hiện (tháng…) </t>
  </si>
  <si>
    <t>Thuê ngoài</t>
  </si>
  <si>
    <t>Tự thực hiện</t>
  </si>
  <si>
    <t>ĐỀ XUẤT KẾ HOẠCH ĐÀO TẠO, HUẤN LUYỆN NĂM 2027</t>
  </si>
  <si>
    <t>CỘNG HÒA XÃ HỘI CHỦ NGHĨA VIỆT NAM
Độc lập - Tự do - Hạnh phúc</t>
  </si>
  <si>
    <t>Lãnh đạo, quản lý đội/kíp/ca, quản trị nhân sự, hiệu suất, thay đổi và phát triển đội ngũ.</t>
  </si>
  <si>
    <t>Lý luận chính trị, quản lý nhà nước và bồi dưỡng theo quy hoạch.</t>
  </si>
  <si>
    <t>Pháp chế, pháp luật, quy định/tiêu chuẩn và quy định nội bộ.</t>
  </si>
  <si>
    <t>Văn thư – lưu trữ, soạn thảo văn bản, hồ sơ điện tử, chữ ký số, hành chính, văn phòng và truyền thông.</t>
  </si>
  <si>
    <t>AI, chuyển đổi số, kỹ năng số, Power BI, phân tích dữ liệu và ứng dụng công nghệ.</t>
  </si>
  <si>
    <t>Giao tiếp, làm việc nhóm, thuyết trình, tham mưu, điều phối, tổ chức và giải quyết công việc.</t>
  </si>
  <si>
    <t>Đấu thầu, hợp đồng và quản lý chi phí.</t>
  </si>
  <si>
    <t>Đầu tư xây dựng, BIM, quản lý dự án, chất lượng và giám sát thi công.</t>
  </si>
  <si>
    <t>Tài chính, kế toán, thuế, bảo hiểm, hóa đơn và chứng từ.</t>
  </si>
  <si>
    <t>Quản lý tài sản, công sản và quản trị chi phí hành chính.</t>
  </si>
  <si>
    <t>Quản trị nhân sự, sử dụng lao động, lao động và tiền lương.</t>
  </si>
  <si>
    <t>SMS; quản lý an toàn, văn hóa an toàn và các nội dung nâng cao về an toàn hàng không.</t>
  </si>
  <si>
    <t>Quản lý/đảm bảo chất lượng, hệ thống QLCL và giám sát chất lượng.</t>
  </si>
  <si>
    <t>ATFM, hiệp đồng/phối hợp, điều tiết, phương thức bay, vùng trời và UAV/UAS.</t>
  </si>
  <si>
    <t>Tiếng Anh ICAO và tiếng Anh chuyên ngành hàng không/CNS/ATM.</t>
  </si>
  <si>
    <t>Khai thác, bảo dưỡng, cập nhật công nghệ CNS/ATM; VHF/VCCS, Radar, ADS-B, RDP, ATM, ATSEP.</t>
  </si>
  <si>
    <t>Khai thác, bảo dưỡng hệ thống điện, nguồn dự phòng, UPS, máy phát và tiếp địa chống sét.</t>
  </si>
  <si>
    <t>Quản trị mạng, máy chủ, hệ điều hành, hệ thống CNTT, cơ sở dữ liệu và dữ liệu tập trung.</t>
  </si>
  <si>
    <t>An ninh mạng, an toàn thông tin, bảo mật, giám sát và ứng cứu sự cố/lỗ hổng.</t>
  </si>
  <si>
    <t>Xử lý tình huống bất thường, sự cố kỹ thuật, chướng ngại vật và các tình huống khai thác phức tạp.</t>
  </si>
  <si>
    <t>Nghiệp vụ quan trắc, dự báo, thời tiết, dữ liệu và hệ thống khí tượng hàng không.</t>
  </si>
  <si>
    <t>Khoa học công nghệ; các chương trình chuyên môn/chuyên gia và đào tạo nâng cao chuyên sâu.</t>
  </si>
  <si>
    <t>Quản lý rủi ro, TEM, yếu tố con người, quản lý mệt mỏi và phân tích rủi ro.</t>
  </si>
  <si>
    <t>Nghiệp vụ sư phạm; HLV, OJTI, CBTA, xây dựng bài giảng và đánh giá năng lực.</t>
  </si>
  <si>
    <t>Cán bộ quản lý; Đội trưởng/Đội phó; Tổ trưởng/Kíp trưởng; cán bộ nguồn; chuyên viên.</t>
  </si>
  <si>
    <t>Cán bộ, cán bộ nguồn và đối tượng trong diện quy hoạch/bồi dưỡng.</t>
  </si>
  <si>
    <t>Cán bộ/chuyên viên và người lao động làm công tác pháp chế, tham mưu, quản lý quy định.</t>
  </si>
  <si>
    <t>Cán bộ/chuyên viên văn phòng, văn thư – lưu trữ, hành chính và truyền thông.</t>
  </si>
  <si>
    <t>Toàn thể người lao động; cán bộ quản lý; chuyên viên; kỹ thuật; HLV và các đối tượng có nhu cầu.</t>
  </si>
  <si>
    <t>Cán bộ, chuyên viên, KSVKL, HLV, kỹ thuật và người lao động có nhu cầu.</t>
  </si>
  <si>
    <t>Người làm công tác đấu thầu, hợp đồng, đầu tư và quản lý chi phí.</t>
  </si>
  <si>
    <t>Cán bộ/chuyên viên phụ trách đầu tư xây dựng, quản lý dự án, kỹ thuật và BIM.</t>
  </si>
  <si>
    <t>Chuyên viên tài chính, kế toán, LĐ-TL và các đối tượng liên quan.</t>
  </si>
  <si>
    <t>Cán bộ/chuyên viên phụ trách tài sản, công sản và hành chính.</t>
  </si>
  <si>
    <t>Cán bộ/chuyên viên nhân sự, lao động, tiền lương và quản lý sử dụng lao động.</t>
  </si>
  <si>
    <t>Toàn thể người lao động; KSVKL; HLV; kỹ thuật; cán bộ quản lý và các lực lượng liên quan.</t>
  </si>
  <si>
    <t>Cán bộ/chuyên viên và các đối tượng thực hiện công tác quản lý, kiểm soát chất lượng.</t>
  </si>
  <si>
    <t>KSVKL; quản lý kíp/Đài trưởng, Đài phó; HLV và lực lượng phối hợp khai thác.</t>
  </si>
  <si>
    <t>KSVKL; kỹ thuật CNS/ATM và các đối tượng sử dụng tiếng Anh chuyên ngành.</t>
  </si>
  <si>
    <t>Nhân viên kỹ thuật CNS/ATSEP; Đài trưởng/Đài phó, Kíp trưởng kỹ thuật và lực lượng liên quan.</t>
  </si>
  <si>
    <t>Nhân viên kỹ thuật; kíp trưởng/đội trưởng kỹ thuật; lực lượng phụ trách cơ điện, nguồn.</t>
  </si>
  <si>
    <t>Nhân viên kỹ thuật/CNTT/ATSEP; cán bộ, chuyên viên quản trị và khai thác hệ thống dữ liệu.</t>
  </si>
  <si>
    <t>Nhân viên kỹ thuật/CNTT/ATSEP; cán bộ quản trị hệ thống và lực lượng khai thác hệ thống.</t>
  </si>
  <si>
    <t>KSVKL; kỹ thuật; SIG; khí tượng; ANHK và các lực lượng khai thác liên quan.</t>
  </si>
  <si>
    <t>Nhân viên khí tượng; kỹ thuật thiết bị khí tượng và các lực lượng liên quan.</t>
  </si>
  <si>
    <t>Cán bộ quản lý, cán bộ nguồn, KSVKL, kỹ thuật và lực lượng chuyên môn chủ chốt.</t>
  </si>
  <si>
    <t>KSVKL; HLV; cán bộ quản lý/kíp; ANHK; kỹ thuật và các đối tượng liên quan.</t>
  </si>
  <si>
    <t>205</t>
  </si>
  <si>
    <t>Kỹ thuật</t>
  </si>
  <si>
    <t>1.1.2</t>
  </si>
  <si>
    <t>1.3.2</t>
  </si>
  <si>
    <t>1.4.2</t>
  </si>
  <si>
    <t>1.5.2</t>
  </si>
  <si>
    <t>1.5.3</t>
  </si>
  <si>
    <t>1.5.4</t>
  </si>
  <si>
    <t>1.5.5</t>
  </si>
  <si>
    <t>1.5.6</t>
  </si>
  <si>
    <t>1.5.7</t>
  </si>
  <si>
    <t>HLV/Giáo viên; OJTI; cán bộ hướng dẫn OJT; KSVKL; kỹ thuật và lực lượng được quy hoạch GV/HLV.</t>
  </si>
  <si>
    <t>Khóa huấn luyện công cụ hỗ trợ</t>
  </si>
  <si>
    <t>Huấn luyện chuyển đổi từ ADC ĐN sang ADC CR</t>
  </si>
  <si>
    <t>Huấn luyện liên quan đến nhận thức rủi ro an toàn trong giai đoạn tiếp cận cho toàn bộ KSVKL, về tình huống xâm nhập đường CHC trái phép  (Đưa vào HLĐK 2027)</t>
  </si>
  <si>
    <t>Huấn luyện cho toàn bộ KSVKL về nhận thức rủi ro về các nội dung liên quan đến sử dụng liên lạc dữ liệu</t>
  </si>
  <si>
    <t>Theo yêu cầu SEI-1.1.3(d) NASP</t>
  </si>
  <si>
    <t>2 nhóm
Th12/2026 hoàn thành huấn luyện_Đ1.Q4/2026 bổ sung kế hoạch huấn luyện định kỳ hàng năm</t>
  </si>
  <si>
    <t xml:space="preserve">     </t>
  </si>
  <si>
    <t>HL cập nhật kiến thức  khai thác, bảo dưỡng, XLSC thiết bị radar Cam Ranh</t>
  </si>
  <si>
    <t>HL cập nhật kiến thức khai thác, bảo dưỡng, XLSC thiết bị điện nguồn tại Cam Ranh</t>
  </si>
  <si>
    <t>Quốc phòng - An ninh</t>
  </si>
  <si>
    <t>Đối tượng 4</t>
  </si>
  <si>
    <t>3-11</t>
  </si>
  <si>
    <t>Theo kế hoạch triệu tập</t>
  </si>
  <si>
    <t>3, 7, 8</t>
  </si>
  <si>
    <t>- Theo KH của BCH Quân sự TP Đà Nẵng
- Kinh phí huấn luyện: 17.000.000
- Bồi dưỡng huấn luyện: 26.000.000</t>
  </si>
  <si>
    <t>Khóa huấn luyện định kỳ nhân viên kiểm soát ANHK nhóm ANKS</t>
  </si>
  <si>
    <t>Khóa huấn luyện định kỳ nhân viên kiểm soát ANHK nhóm ANSC</t>
  </si>
  <si>
    <t xml:space="preserve">KSVKL APP/TWR DN có năng định APS CR  </t>
  </si>
  <si>
    <t>Huấn luyện chuyển đổi từ ADC APS ĐN sang ADC APS CR</t>
  </si>
  <si>
    <t>PKL/TCTS DN</t>
  </si>
  <si>
    <t>HL năng định và tại vị trí làm việc KT, BD ADS-B</t>
  </si>
  <si>
    <t>Phòng KT/Đài PC, TH, PLK</t>
  </si>
  <si>
    <t>Phòng KT/TT KS TCTS CR</t>
  </si>
  <si>
    <t>HL OJT cho 05 người đã HL LT+TH, 2026 chuyển sang</t>
  </si>
  <si>
    <t>Phòng KT/Đài TH</t>
  </si>
  <si>
    <t>HL OJT cho 07 người đã HL LT+TH, 2026 chuyển sang</t>
  </si>
  <si>
    <t>PKL/Đài TH, PC</t>
  </si>
  <si>
    <t>KSVKL PC, TH</t>
  </si>
  <si>
    <t>HL năng định cho KSVKL</t>
  </si>
  <si>
    <t>03 người t/d năm 2025 HL OJT, 2026 chuyển sang</t>
  </si>
  <si>
    <t>NVKT PC, TH, PLK đã HL LT+TH</t>
  </si>
  <si>
    <t>HL OJT cho 02 người, 2026 chuyển sang</t>
  </si>
  <si>
    <t>NVKT CR đã HL LT+TH</t>
  </si>
  <si>
    <t>NVKT TH đã HL LT+TH</t>
  </si>
  <si>
    <t>NVKT QN, CR đã HL LT+TH</t>
  </si>
  <si>
    <t>HL OJT cho 01 người, 2026 chuyển sang</t>
  </si>
  <si>
    <t>5 đợt</t>
  </si>
  <si>
    <t xml:space="preserve">3đơt lý thuyết, 2 đợt TH/đơn vị </t>
  </si>
  <si>
    <t>Dự kiến 03 lớp</t>
  </si>
  <si>
    <t>Dự kiến 3 lớp</t>
  </si>
  <si>
    <t>PKL/TTKSTCTSDN, CR, Đài KSKL</t>
  </si>
  <si>
    <t>HL cập nhật kiến thức khai thác, bảo dưỡng, XLSC thiết bị radar tại Đội radar Quy Nhơn</t>
  </si>
  <si>
    <t>Theo</t>
  </si>
  <si>
    <t>Kinh phí tạm tính.
Tổ chức 05 đợt tai 05 cơ sở có liên quan hoạt động quân sự (ĐN, CR, CL, PC, TH)</t>
  </si>
  <si>
    <t>5.10</t>
  </si>
  <si>
    <t>B</t>
  </si>
  <si>
    <t>Kinh phí đối ứng (công tác phí, lưu trú, vé máy bay)</t>
  </si>
  <si>
    <t>Chi phí đã bao gồm chi phí khác (công tác phí, lưu trú, vé máy bay…)  tạm tính cho các khóa học do TCT tổ chức.</t>
  </si>
  <si>
    <t>TỔNG (A+B)</t>
  </si>
  <si>
    <t>Hỗ trợ đối tượng CBNV tham gia khóa đào tạo ĐH Quản lý hoạt động bay</t>
  </si>
  <si>
    <t>12 KSVKL
Tạm tính theo chi phí năm 2026 (Theo phê duyệt của Tổng Giám đốc tại Tờ trình số 1035/TTr-TCCB ngày 23/7/2024 và văn bản 922/TCCB ngày 01/7/2026 của Ban TCCB-LĐ)</t>
  </si>
  <si>
    <t xml:space="preserve">Cán bộ, KSVKL </t>
  </si>
  <si>
    <r>
      <t xml:space="preserve">TỔNG CÔNG TY QUẢN LÝ BAY VIỆT NAM
</t>
    </r>
    <r>
      <rPr>
        <b/>
        <sz val="14"/>
        <color theme="1"/>
        <rFont val="Times New Roman"/>
        <family val="1"/>
      </rPr>
      <t>CÔNG TY QUẢN LÝ BAY MIÈN TRUNG</t>
    </r>
  </si>
  <si>
    <r>
      <t xml:space="preserve">PKL/TCTSDN/PC/ </t>
    </r>
    <r>
      <rPr>
        <sz val="12"/>
        <color theme="1"/>
        <rFont val="Times New Roman"/>
        <family val="1"/>
      </rPr>
      <t>TH</t>
    </r>
  </si>
  <si>
    <r>
      <rPr>
        <sz val="12"/>
        <color theme="1"/>
        <rFont val="Times New Roman"/>
        <family val="1"/>
      </rPr>
      <t>01 lớp chia 02 nhóm: Lai, hải an, Hà trung đức, nguyên thắng, thanh bình, thành trung, tuấn (04/2027)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</si>
</sst>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Red]#,##0"/>
    <numFmt numFmtId="166" formatCode="_(* #,##0_);_(* \(#,##0\);_(* &quot;-&quot;??_);_(@_)"/>
  </numFmts>
  <fonts count="12">
    <font>
      <sz val="14"/>
      <color theme="1"/>
      <name val="Times New Roman"/>
      <family val="2"/>
    </font>
    <font>
      <sz val="14"/>
      <color theme="1"/>
      <name val="Times New Roman"/>
      <family val="2"/>
    </font>
    <font>
      <sz val="10"/>
      <name val="Arial"/>
      <family val="2"/>
    </font>
    <font>
      <sz val="12"/>
      <color theme="1"/>
      <name val="Times New Roman"/>
      <family val="1"/>
      <charset val="163"/>
    </font>
    <font>
      <b/>
      <sz val="14"/>
      <color theme="1"/>
      <name val="Times New Roman"/>
      <family val="1"/>
    </font>
    <font>
      <sz val="12"/>
      <color theme="1"/>
      <name val="Times New Roman"/>
      <family val="1"/>
    </font>
    <font>
      <sz val="14"/>
      <color theme="1"/>
      <name val="Times New Roman"/>
      <family val="1"/>
      <charset val="163"/>
    </font>
    <font>
      <b/>
      <sz val="14"/>
      <color theme="1"/>
      <name val="Times New Roman"/>
      <family val="1"/>
      <charset val="163"/>
    </font>
    <font>
      <b/>
      <sz val="12"/>
      <color theme="1"/>
      <name val="Times New Roman"/>
      <family val="1"/>
      <charset val="163"/>
    </font>
    <font>
      <b/>
      <i/>
      <sz val="12"/>
      <color theme="1"/>
      <name val="Times New Roman"/>
      <family val="1"/>
      <charset val="163"/>
    </font>
    <font>
      <sz val="10"/>
      <color theme="1"/>
      <name val="Times New Roman"/>
      <family val="1"/>
      <charset val="163"/>
    </font>
    <font>
      <sz val="12"/>
      <color theme="1"/>
      <name val="VNI-Times"/>
      <charset val="163"/>
    </font>
  </fonts>
  <fills count="2">
    <fill>
      <patternFill patternType="none"/>
    </fill>
    <fill>
      <patternFill patternType="gray125"/>
    </fill>
  </fills>
  <borders count="5">
    <border>
      <left/>
      <right/>
      <top/>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s>
  <cellStyleXfs count="8">
    <xf numFmtId="0" fontId="0" fillId="0" borderId="0"/>
    <xf numFmtId="164" fontId="1"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cellStyleXfs>
  <cellXfs count="139">
    <xf numFmtId="0" fontId="0" fillId="0" borderId="0" xfId="0"/>
    <xf numFmtId="0" fontId="3" fillId="0" borderId="0" xfId="2" applyFont="1" applyFill="1" applyAlignment="1">
      <alignment horizontal="center" vertical="center" wrapText="1"/>
    </xf>
    <xf numFmtId="0" fontId="6" fillId="0" borderId="0" xfId="2" applyFont="1" applyFill="1" applyAlignment="1">
      <alignment horizontal="center" vertical="center" wrapText="1"/>
    </xf>
    <xf numFmtId="0" fontId="7" fillId="0" borderId="0" xfId="2" applyFont="1" applyFill="1" applyAlignment="1">
      <alignment horizontal="center" vertical="center" wrapText="1"/>
    </xf>
    <xf numFmtId="0" fontId="3" fillId="0" borderId="0" xfId="2" applyFont="1" applyFill="1" applyAlignment="1">
      <alignment horizontal="left" vertical="center" wrapText="1"/>
    </xf>
    <xf numFmtId="0" fontId="3" fillId="0" borderId="0" xfId="2" applyFont="1" applyFill="1" applyAlignment="1">
      <alignment horizontal="center" wrapText="1"/>
    </xf>
    <xf numFmtId="49" fontId="3" fillId="0" borderId="0" xfId="2" applyNumberFormat="1" applyFont="1" applyFill="1" applyAlignment="1">
      <alignment horizontal="center" vertical="center" wrapText="1"/>
    </xf>
    <xf numFmtId="0" fontId="3" fillId="0" borderId="0" xfId="2" applyFont="1" applyFill="1" applyAlignment="1">
      <alignment horizontal="center" vertical="center"/>
    </xf>
    <xf numFmtId="3" fontId="3" fillId="0" borderId="0" xfId="2" applyNumberFormat="1" applyFont="1" applyFill="1" applyAlignment="1">
      <alignment horizontal="center" vertical="center" wrapText="1"/>
    </xf>
    <xf numFmtId="0" fontId="3" fillId="0" borderId="0" xfId="2" applyFont="1" applyFill="1" applyAlignment="1">
      <alignment vertical="center" wrapText="1"/>
    </xf>
    <xf numFmtId="0" fontId="6" fillId="0" borderId="0" xfId="0" applyFont="1" applyFill="1" applyAlignment="1">
      <alignment horizontal="center" vertical="center" wrapText="1"/>
    </xf>
    <xf numFmtId="0" fontId="7" fillId="0" borderId="0" xfId="0" applyFont="1" applyFill="1" applyAlignment="1">
      <alignment horizontal="center" vertical="center" wrapText="1"/>
    </xf>
    <xf numFmtId="0" fontId="7" fillId="0" borderId="0" xfId="2" applyFont="1" applyFill="1" applyAlignment="1">
      <alignment horizontal="center" vertical="center" wrapText="1"/>
    </xf>
    <xf numFmtId="0" fontId="8" fillId="0" borderId="3" xfId="2" applyFont="1" applyFill="1" applyBorder="1" applyAlignment="1">
      <alignment horizontal="center" vertical="center" wrapText="1"/>
    </xf>
    <xf numFmtId="0" fontId="8" fillId="0" borderId="3" xfId="0" applyFont="1" applyFill="1" applyBorder="1" applyAlignment="1">
      <alignment horizontal="center" vertical="center" wrapText="1"/>
    </xf>
    <xf numFmtId="3" fontId="8" fillId="0" borderId="3" xfId="4" applyNumberFormat="1" applyFont="1" applyFill="1" applyBorder="1" applyAlignment="1">
      <alignment horizontal="center" vertical="center" wrapText="1" readingOrder="1"/>
    </xf>
    <xf numFmtId="0" fontId="8" fillId="0" borderId="1" xfId="2" applyFont="1" applyFill="1" applyBorder="1" applyAlignment="1">
      <alignment horizontal="center" vertical="center" wrapText="1"/>
    </xf>
    <xf numFmtId="0" fontId="8" fillId="0" borderId="1" xfId="0" applyFont="1" applyFill="1" applyBorder="1" applyAlignment="1">
      <alignment horizontal="center" vertical="center" wrapText="1"/>
    </xf>
    <xf numFmtId="49" fontId="9" fillId="0" borderId="1" xfId="2" applyNumberFormat="1" applyFont="1" applyFill="1" applyBorder="1" applyAlignment="1">
      <alignment horizontal="center" vertical="center" wrapText="1"/>
    </xf>
    <xf numFmtId="0" fontId="9" fillId="0" borderId="1" xfId="2" applyFont="1" applyFill="1" applyBorder="1" applyAlignment="1">
      <alignment horizontal="center" vertical="center" wrapText="1"/>
    </xf>
    <xf numFmtId="0" fontId="8" fillId="0" borderId="1" xfId="0" applyFont="1" applyFill="1" applyBorder="1" applyAlignment="1">
      <alignment horizontal="center" vertical="center" wrapText="1"/>
    </xf>
    <xf numFmtId="3" fontId="8" fillId="0" borderId="1" xfId="4" applyNumberFormat="1" applyFont="1" applyFill="1" applyBorder="1" applyAlignment="1">
      <alignment horizontal="center" vertical="center" wrapText="1" readingOrder="1"/>
    </xf>
    <xf numFmtId="0" fontId="9" fillId="0" borderId="1" xfId="2" applyFont="1" applyFill="1" applyBorder="1" applyAlignment="1">
      <alignment horizontal="center" vertical="center" wrapText="1"/>
    </xf>
    <xf numFmtId="0" fontId="9" fillId="0" borderId="1" xfId="2" applyFont="1" applyFill="1" applyBorder="1" applyAlignment="1">
      <alignment horizontal="center" vertical="center"/>
    </xf>
    <xf numFmtId="3" fontId="9" fillId="0" borderId="1" xfId="2" applyNumberFormat="1" applyFont="1" applyFill="1" applyBorder="1" applyAlignment="1">
      <alignment horizontal="right" vertical="center" wrapText="1"/>
    </xf>
    <xf numFmtId="3" fontId="9" fillId="0" borderId="1" xfId="2" applyNumberFormat="1" applyFont="1" applyFill="1" applyBorder="1" applyAlignment="1">
      <alignment horizontal="center" vertical="center" wrapText="1"/>
    </xf>
    <xf numFmtId="0" fontId="9" fillId="0" borderId="0" xfId="2" applyFont="1" applyFill="1" applyAlignment="1">
      <alignment horizontal="center" vertical="center" wrapText="1"/>
    </xf>
    <xf numFmtId="0" fontId="8" fillId="0" borderId="1" xfId="2" applyFont="1" applyFill="1" applyBorder="1" applyAlignment="1">
      <alignment horizontal="center" vertical="center" wrapText="1"/>
    </xf>
    <xf numFmtId="0" fontId="8" fillId="0" borderId="1" xfId="2" applyFont="1" applyFill="1" applyBorder="1" applyAlignment="1">
      <alignment vertical="center" wrapText="1"/>
    </xf>
    <xf numFmtId="0" fontId="3" fillId="0" borderId="1" xfId="2" applyFont="1" applyFill="1" applyBorder="1" applyAlignment="1">
      <alignment horizontal="center" vertical="center" wrapText="1"/>
    </xf>
    <xf numFmtId="3" fontId="8" fillId="0" borderId="1" xfId="2" applyNumberFormat="1" applyFont="1" applyFill="1" applyBorder="1" applyAlignment="1">
      <alignment horizontal="center" vertical="center" wrapText="1"/>
    </xf>
    <xf numFmtId="3" fontId="8" fillId="0" borderId="1" xfId="2" applyNumberFormat="1" applyFont="1" applyFill="1" applyBorder="1" applyAlignment="1">
      <alignment horizontal="right" vertical="center" wrapText="1"/>
    </xf>
    <xf numFmtId="3" fontId="3" fillId="0" borderId="1" xfId="2" applyNumberFormat="1" applyFont="1" applyFill="1" applyBorder="1" applyAlignment="1">
      <alignment vertical="center" wrapText="1"/>
    </xf>
    <xf numFmtId="0" fontId="8" fillId="0" borderId="1" xfId="2" applyFont="1" applyFill="1" applyBorder="1" applyAlignment="1">
      <alignment horizontal="left" vertical="center" wrapText="1"/>
    </xf>
    <xf numFmtId="0" fontId="8" fillId="0" borderId="1" xfId="2" applyFont="1" applyFill="1" applyBorder="1" applyAlignment="1">
      <alignment horizontal="center" wrapText="1"/>
    </xf>
    <xf numFmtId="1" fontId="8" fillId="0" borderId="1" xfId="2" applyNumberFormat="1" applyFont="1" applyFill="1" applyBorder="1" applyAlignment="1">
      <alignment horizontal="center" vertical="center" wrapText="1"/>
    </xf>
    <xf numFmtId="3" fontId="3" fillId="0" borderId="1" xfId="2" applyNumberFormat="1" applyFont="1" applyFill="1" applyBorder="1" applyAlignment="1">
      <alignment horizontal="center" vertical="center" wrapText="1"/>
    </xf>
    <xf numFmtId="0" fontId="3" fillId="0" borderId="1" xfId="2" applyFont="1" applyFill="1" applyBorder="1" applyAlignment="1">
      <alignment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horizontal="left" vertical="top" wrapText="1"/>
    </xf>
    <xf numFmtId="0" fontId="10" fillId="0" borderId="1" xfId="0" applyFont="1" applyFill="1" applyBorder="1" applyAlignment="1">
      <alignment horizontal="center" vertical="center" wrapText="1"/>
    </xf>
    <xf numFmtId="0" fontId="8" fillId="0" borderId="1" xfId="2" applyFont="1" applyFill="1" applyBorder="1" applyAlignment="1">
      <alignment horizontal="center" vertical="center"/>
    </xf>
    <xf numFmtId="166" fontId="8" fillId="0" borderId="1" xfId="4" applyNumberFormat="1" applyFont="1" applyFill="1" applyBorder="1" applyAlignment="1">
      <alignment horizontal="right" vertical="center" wrapText="1"/>
    </xf>
    <xf numFmtId="3" fontId="8" fillId="0" borderId="1" xfId="4" applyNumberFormat="1" applyFont="1" applyFill="1" applyBorder="1" applyAlignment="1">
      <alignment horizontal="right" vertical="center" wrapText="1"/>
    </xf>
    <xf numFmtId="49" fontId="3" fillId="0" borderId="1" xfId="2" quotePrefix="1" applyNumberFormat="1" applyFont="1" applyFill="1" applyBorder="1" applyAlignment="1">
      <alignment horizontal="center" vertical="center" wrapText="1"/>
    </xf>
    <xf numFmtId="3" fontId="3" fillId="0" borderId="1" xfId="2" applyNumberFormat="1" applyFont="1" applyFill="1" applyBorder="1" applyAlignment="1">
      <alignment horizontal="right" vertical="center" wrapText="1"/>
    </xf>
    <xf numFmtId="3" fontId="3" fillId="0" borderId="1" xfId="4" applyNumberFormat="1" applyFont="1" applyFill="1" applyBorder="1" applyAlignment="1">
      <alignment horizontal="center" vertical="center" wrapText="1" readingOrder="1"/>
    </xf>
    <xf numFmtId="49" fontId="8" fillId="0" borderId="1" xfId="2" applyNumberFormat="1" applyFont="1" applyFill="1" applyBorder="1" applyAlignment="1">
      <alignment vertical="center" wrapText="1"/>
    </xf>
    <xf numFmtId="0" fontId="3" fillId="0" borderId="1" xfId="0" applyFont="1" applyFill="1" applyBorder="1" applyAlignment="1">
      <alignment horizontal="center" vertical="center" wrapText="1"/>
    </xf>
    <xf numFmtId="49" fontId="3" fillId="0" borderId="1" xfId="0" applyNumberFormat="1" applyFont="1" applyFill="1" applyBorder="1" applyAlignment="1">
      <alignment horizontal="left" vertical="center" wrapText="1"/>
    </xf>
    <xf numFmtId="49" fontId="3" fillId="0" borderId="1" xfId="0" applyNumberFormat="1" applyFont="1" applyFill="1" applyBorder="1" applyAlignment="1">
      <alignment horizontal="center" vertical="center" wrapText="1"/>
    </xf>
    <xf numFmtId="0" fontId="3" fillId="0" borderId="1" xfId="0" quotePrefix="1" applyFont="1" applyFill="1" applyBorder="1" applyAlignment="1">
      <alignment horizontal="center" vertical="center" wrapText="1"/>
    </xf>
    <xf numFmtId="3" fontId="3" fillId="0" borderId="1" xfId="0" applyNumberFormat="1" applyFont="1" applyFill="1" applyBorder="1" applyAlignment="1">
      <alignment vertical="center" wrapText="1"/>
    </xf>
    <xf numFmtId="3" fontId="3" fillId="0" borderId="1" xfId="1" applyNumberFormat="1" applyFont="1" applyFill="1" applyBorder="1" applyAlignment="1">
      <alignment horizontal="right" vertical="center" wrapText="1" readingOrder="1"/>
    </xf>
    <xf numFmtId="0" fontId="8" fillId="0" borderId="2" xfId="0" applyFont="1" applyFill="1" applyBorder="1" applyAlignment="1">
      <alignment horizontal="center" vertical="center" wrapText="1"/>
    </xf>
    <xf numFmtId="0" fontId="7" fillId="0" borderId="0" xfId="0" applyFont="1" applyFill="1" applyAlignment="1">
      <alignment horizontal="center" vertical="center" wrapText="1"/>
    </xf>
    <xf numFmtId="0" fontId="6" fillId="0" borderId="0" xfId="0" applyFont="1" applyFill="1" applyAlignment="1">
      <alignment horizontal="center" vertical="center" wrapText="1"/>
    </xf>
    <xf numFmtId="49" fontId="8" fillId="0" borderId="1" xfId="2" applyNumberFormat="1" applyFont="1" applyFill="1" applyBorder="1" applyAlignment="1">
      <alignment horizontal="left" vertical="center" wrapText="1"/>
    </xf>
    <xf numFmtId="49" fontId="3" fillId="0" borderId="1" xfId="2" applyNumberFormat="1" applyFont="1" applyFill="1" applyBorder="1" applyAlignment="1">
      <alignment horizontal="center" wrapText="1"/>
    </xf>
    <xf numFmtId="49" fontId="8" fillId="0" borderId="1" xfId="2" applyNumberFormat="1" applyFont="1" applyFill="1" applyBorder="1" applyAlignment="1">
      <alignment horizontal="center" vertical="center" wrapText="1"/>
    </xf>
    <xf numFmtId="49" fontId="3" fillId="0" borderId="1" xfId="2" applyNumberFormat="1" applyFont="1" applyFill="1" applyBorder="1" applyAlignment="1">
      <alignment horizontal="center" vertical="center" wrapText="1"/>
    </xf>
    <xf numFmtId="49" fontId="3" fillId="0" borderId="1" xfId="2" applyNumberFormat="1" applyFont="1" applyFill="1" applyBorder="1" applyAlignment="1">
      <alignment vertical="center" wrapText="1"/>
    </xf>
    <xf numFmtId="0" fontId="3" fillId="0" borderId="1" xfId="0" applyFont="1" applyFill="1" applyBorder="1" applyAlignment="1">
      <alignment horizontal="center" vertical="center"/>
    </xf>
    <xf numFmtId="0" fontId="3" fillId="0" borderId="1" xfId="0" applyFont="1" applyFill="1" applyBorder="1" applyAlignment="1">
      <alignment vertical="center" wrapText="1"/>
    </xf>
    <xf numFmtId="0" fontId="3" fillId="0" borderId="1" xfId="0" applyFont="1" applyFill="1" applyBorder="1" applyAlignment="1">
      <alignment horizontal="right" vertical="center" wrapText="1"/>
    </xf>
    <xf numFmtId="3" fontId="3" fillId="0" borderId="1" xfId="0" applyNumberFormat="1" applyFont="1" applyFill="1" applyBorder="1" applyAlignment="1">
      <alignment horizontal="right" vertical="center" wrapText="1"/>
    </xf>
    <xf numFmtId="0" fontId="8" fillId="0" borderId="0" xfId="0" applyFont="1" applyFill="1" applyAlignment="1">
      <alignment vertical="center" wrapText="1"/>
    </xf>
    <xf numFmtId="0" fontId="3" fillId="0" borderId="1" xfId="0" applyFont="1" applyFill="1" applyBorder="1" applyAlignment="1">
      <alignment horizontal="justify" vertical="center"/>
    </xf>
    <xf numFmtId="3" fontId="3" fillId="0" borderId="1" xfId="0" applyNumberFormat="1" applyFont="1" applyFill="1" applyBorder="1" applyAlignment="1">
      <alignment horizontal="center" vertical="center"/>
    </xf>
    <xf numFmtId="3" fontId="10" fillId="0" borderId="1" xfId="0" applyNumberFormat="1" applyFont="1" applyFill="1" applyBorder="1" applyAlignment="1">
      <alignment horizontal="right" vertical="center" wrapText="1"/>
    </xf>
    <xf numFmtId="3" fontId="3" fillId="0" borderId="1" xfId="0" applyNumberFormat="1" applyFont="1" applyFill="1" applyBorder="1" applyAlignment="1">
      <alignment horizontal="right" vertical="center"/>
    </xf>
    <xf numFmtId="0" fontId="10" fillId="0" borderId="0" xfId="0" applyFont="1" applyFill="1" applyAlignment="1">
      <alignment vertical="center" wrapText="1"/>
    </xf>
    <xf numFmtId="0" fontId="3" fillId="0" borderId="1" xfId="2" applyFont="1" applyFill="1" applyBorder="1" applyAlignment="1">
      <alignment horizontal="left" vertical="center" wrapText="1"/>
    </xf>
    <xf numFmtId="49" fontId="3" fillId="0" borderId="1" xfId="2" applyNumberFormat="1" applyFont="1" applyFill="1" applyBorder="1" applyAlignment="1">
      <alignment horizontal="center" vertical="center"/>
    </xf>
    <xf numFmtId="3" fontId="3" fillId="0" borderId="1" xfId="4" applyNumberFormat="1" applyFont="1" applyFill="1" applyBorder="1" applyAlignment="1">
      <alignment horizontal="right" vertical="center" wrapText="1" readingOrder="1"/>
    </xf>
    <xf numFmtId="0" fontId="3" fillId="0" borderId="1" xfId="2" quotePrefix="1" applyFont="1" applyFill="1" applyBorder="1" applyAlignment="1">
      <alignment vertical="center" wrapText="1"/>
    </xf>
    <xf numFmtId="0" fontId="3" fillId="0" borderId="1" xfId="0" applyFont="1" applyFill="1" applyBorder="1" applyAlignment="1">
      <alignment horizontal="left" vertical="center" wrapText="1"/>
    </xf>
    <xf numFmtId="165" fontId="3" fillId="0" borderId="1" xfId="0" applyNumberFormat="1" applyFont="1" applyFill="1" applyBorder="1" applyAlignment="1">
      <alignment horizontal="center" vertical="center"/>
    </xf>
    <xf numFmtId="0" fontId="3" fillId="0" borderId="1" xfId="0" quotePrefix="1" applyFont="1" applyFill="1" applyBorder="1" applyAlignment="1">
      <alignment horizontal="left" vertical="center" wrapText="1"/>
    </xf>
    <xf numFmtId="165" fontId="3" fillId="0" borderId="1" xfId="1" applyNumberFormat="1" applyFont="1" applyFill="1" applyBorder="1" applyAlignment="1">
      <alignment horizontal="right" vertical="center"/>
    </xf>
    <xf numFmtId="165" fontId="3" fillId="0" borderId="1" xfId="1" applyNumberFormat="1" applyFont="1" applyFill="1" applyBorder="1" applyAlignment="1">
      <alignment horizontal="center" vertical="center"/>
    </xf>
    <xf numFmtId="0" fontId="3" fillId="0" borderId="0" xfId="0" applyFont="1" applyFill="1"/>
    <xf numFmtId="0" fontId="3" fillId="0" borderId="1" xfId="0" applyFont="1" applyFill="1" applyBorder="1" applyAlignment="1">
      <alignment vertical="center"/>
    </xf>
    <xf numFmtId="0" fontId="8" fillId="0" borderId="1" xfId="0" applyFont="1" applyFill="1" applyBorder="1" applyAlignment="1">
      <alignment horizontal="center" vertical="center"/>
    </xf>
    <xf numFmtId="0" fontId="8" fillId="0" borderId="1" xfId="0" applyFont="1" applyFill="1" applyBorder="1" applyAlignment="1">
      <alignment horizontal="justify" vertical="center" wrapText="1"/>
    </xf>
    <xf numFmtId="0" fontId="3" fillId="0" borderId="1" xfId="0" quotePrefix="1" applyFont="1" applyFill="1" applyBorder="1" applyAlignment="1">
      <alignment vertical="center" wrapText="1"/>
    </xf>
    <xf numFmtId="0" fontId="3" fillId="0" borderId="1" xfId="0" applyFont="1" applyFill="1" applyBorder="1" applyAlignment="1">
      <alignment horizontal="justify" vertical="center" wrapText="1"/>
    </xf>
    <xf numFmtId="3" fontId="8" fillId="0" borderId="1" xfId="2" applyNumberFormat="1" applyFont="1" applyFill="1" applyBorder="1" applyAlignment="1">
      <alignment horizontal="center" vertical="center"/>
    </xf>
    <xf numFmtId="0" fontId="3" fillId="0" borderId="1" xfId="2" applyFont="1" applyFill="1" applyBorder="1" applyAlignment="1">
      <alignment horizontal="left" vertical="center" wrapText="1"/>
    </xf>
    <xf numFmtId="0" fontId="3" fillId="0" borderId="1" xfId="2" applyFont="1" applyFill="1" applyBorder="1" applyAlignment="1">
      <alignment horizontal="center" vertical="center" wrapText="1"/>
    </xf>
    <xf numFmtId="0" fontId="3" fillId="0" borderId="1" xfId="2" applyFont="1" applyFill="1" applyBorder="1" applyAlignment="1">
      <alignment horizontal="center" vertical="center"/>
    </xf>
    <xf numFmtId="0" fontId="3" fillId="0" borderId="1" xfId="2" applyFont="1" applyFill="1" applyBorder="1" applyAlignment="1">
      <alignment horizontal="center" wrapText="1"/>
    </xf>
    <xf numFmtId="49" fontId="8" fillId="0" borderId="1" xfId="0" applyNumberFormat="1" applyFont="1" applyFill="1" applyBorder="1" applyAlignment="1">
      <alignment horizontal="left" vertical="center" wrapText="1"/>
    </xf>
    <xf numFmtId="0" fontId="3" fillId="0" borderId="0" xfId="0" applyFont="1" applyFill="1" applyAlignment="1">
      <alignment horizontal="center" vertical="center" wrapText="1"/>
    </xf>
    <xf numFmtId="0" fontId="11" fillId="0" borderId="0" xfId="0" applyFont="1" applyFill="1" applyAlignment="1">
      <alignment horizontal="center" vertical="center" wrapText="1"/>
    </xf>
    <xf numFmtId="49" fontId="3" fillId="0" borderId="1" xfId="0" applyNumberFormat="1" applyFont="1" applyFill="1" applyBorder="1" applyAlignment="1">
      <alignment vertical="center" wrapText="1"/>
    </xf>
    <xf numFmtId="3" fontId="3" fillId="0" borderId="1" xfId="2" quotePrefix="1" applyNumberFormat="1" applyFont="1" applyFill="1" applyBorder="1" applyAlignment="1">
      <alignment horizontal="right" vertical="center" wrapText="1"/>
    </xf>
    <xf numFmtId="49" fontId="8" fillId="0" borderId="1" xfId="0" applyNumberFormat="1" applyFont="1" applyFill="1" applyBorder="1" applyAlignment="1">
      <alignment vertical="center" wrapText="1"/>
    </xf>
    <xf numFmtId="3" fontId="8" fillId="0" borderId="1" xfId="0" applyNumberFormat="1" applyFont="1" applyFill="1" applyBorder="1" applyAlignment="1">
      <alignment horizontal="right" vertical="center" wrapText="1"/>
    </xf>
    <xf numFmtId="2" fontId="3" fillId="0" borderId="1" xfId="0" applyNumberFormat="1" applyFont="1" applyFill="1" applyBorder="1" applyAlignment="1">
      <alignment horizontal="center" vertical="center"/>
    </xf>
    <xf numFmtId="0" fontId="3" fillId="0" borderId="1" xfId="0" applyFont="1" applyFill="1" applyBorder="1" applyAlignment="1">
      <alignment horizontal="center" vertical="center" wrapText="1"/>
    </xf>
    <xf numFmtId="3" fontId="3" fillId="0" borderId="1" xfId="1" applyNumberFormat="1" applyFont="1" applyFill="1" applyBorder="1" applyAlignment="1">
      <alignment horizontal="right" vertical="center" wrapText="1" readingOrder="1"/>
    </xf>
    <xf numFmtId="3" fontId="3" fillId="0" borderId="1" xfId="1" applyNumberFormat="1" applyFont="1" applyFill="1" applyBorder="1" applyAlignment="1">
      <alignment horizontal="center" vertical="center" wrapText="1" readingOrder="1"/>
    </xf>
    <xf numFmtId="49" fontId="3" fillId="0" borderId="1" xfId="0" applyNumberFormat="1" applyFont="1" applyFill="1" applyBorder="1" applyAlignment="1">
      <alignment horizontal="left" vertical="center" wrapText="1"/>
    </xf>
    <xf numFmtId="3" fontId="8" fillId="0" borderId="1" xfId="2" quotePrefix="1" applyNumberFormat="1" applyFont="1" applyFill="1" applyBorder="1" applyAlignment="1">
      <alignment horizontal="right" vertical="center" wrapText="1"/>
    </xf>
    <xf numFmtId="49" fontId="3" fillId="0" borderId="1" xfId="3" applyNumberFormat="1" applyFont="1" applyFill="1" applyBorder="1" applyAlignment="1">
      <alignment horizontal="center" vertical="center" wrapText="1"/>
    </xf>
    <xf numFmtId="0" fontId="3" fillId="0"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8" fillId="0" borderId="1" xfId="0" applyFont="1" applyFill="1" applyBorder="1" applyAlignment="1">
      <alignment horizontal="left" vertical="center" wrapText="1"/>
    </xf>
    <xf numFmtId="0" fontId="8" fillId="0" borderId="1" xfId="0" applyFont="1" applyFill="1" applyBorder="1" applyAlignment="1">
      <alignment horizontal="left" wrapText="1"/>
    </xf>
    <xf numFmtId="0" fontId="8" fillId="0" borderId="1" xfId="0" applyFont="1" applyFill="1" applyBorder="1" applyAlignment="1">
      <alignment horizontal="right" vertical="center" wrapText="1"/>
    </xf>
    <xf numFmtId="49" fontId="3" fillId="0" borderId="1" xfId="0" applyNumberFormat="1" applyFont="1" applyFill="1" applyBorder="1" applyAlignment="1">
      <alignment horizontal="left" wrapText="1"/>
    </xf>
    <xf numFmtId="3" fontId="8" fillId="0" borderId="1" xfId="2" quotePrefix="1" applyNumberFormat="1" applyFont="1" applyFill="1" applyBorder="1" applyAlignment="1">
      <alignment horizontal="center" vertical="center" wrapText="1"/>
    </xf>
    <xf numFmtId="49" fontId="3" fillId="0" borderId="1" xfId="3" applyNumberFormat="1" applyFont="1" applyFill="1" applyBorder="1" applyAlignment="1">
      <alignment horizontal="left" vertical="center" wrapText="1"/>
    </xf>
    <xf numFmtId="0" fontId="3" fillId="0" borderId="1" xfId="3" applyFont="1" applyFill="1" applyBorder="1" applyAlignment="1">
      <alignment horizontal="center" wrapText="1"/>
    </xf>
    <xf numFmtId="0" fontId="3" fillId="0" borderId="1" xfId="3" applyFont="1" applyFill="1" applyBorder="1" applyAlignment="1">
      <alignment horizontal="center" vertical="center" wrapText="1"/>
    </xf>
    <xf numFmtId="3" fontId="3" fillId="0" borderId="1" xfId="3" applyNumberFormat="1" applyFont="1" applyFill="1" applyBorder="1" applyAlignment="1">
      <alignment horizontal="right" vertical="center" wrapText="1"/>
    </xf>
    <xf numFmtId="0" fontId="3" fillId="0" borderId="1" xfId="2" quotePrefix="1" applyFont="1" applyFill="1" applyBorder="1" applyAlignment="1">
      <alignment horizontal="center" vertical="center" wrapText="1"/>
    </xf>
    <xf numFmtId="0" fontId="3" fillId="0" borderId="1" xfId="2" quotePrefix="1" applyFont="1" applyFill="1" applyBorder="1" applyAlignment="1">
      <alignment horizontal="left" vertical="center" wrapText="1"/>
    </xf>
    <xf numFmtId="0" fontId="3" fillId="0" borderId="1" xfId="2" quotePrefix="1" applyFont="1" applyFill="1" applyBorder="1" applyAlignment="1">
      <alignment horizontal="center" vertical="center"/>
    </xf>
    <xf numFmtId="164" fontId="3" fillId="0" borderId="1" xfId="1" applyFont="1" applyFill="1" applyBorder="1" applyAlignment="1">
      <alignment vertical="center" wrapText="1"/>
    </xf>
    <xf numFmtId="49" fontId="3" fillId="0" borderId="1" xfId="3" applyNumberFormat="1" applyFont="1" applyFill="1" applyBorder="1" applyAlignment="1">
      <alignment vertical="center" wrapText="1"/>
    </xf>
    <xf numFmtId="3" fontId="3" fillId="0" borderId="1" xfId="0" quotePrefix="1" applyNumberFormat="1" applyFont="1" applyFill="1" applyBorder="1" applyAlignment="1">
      <alignment vertical="center" wrapText="1"/>
    </xf>
    <xf numFmtId="3" fontId="3" fillId="0" borderId="1" xfId="0" quotePrefix="1" applyNumberFormat="1" applyFont="1" applyFill="1" applyBorder="1" applyAlignment="1">
      <alignment horizontal="right" vertical="center" wrapText="1"/>
    </xf>
    <xf numFmtId="0" fontId="3" fillId="0" borderId="0" xfId="0" applyFont="1" applyFill="1" applyAlignment="1">
      <alignment horizontal="center" vertical="center"/>
    </xf>
    <xf numFmtId="3" fontId="3" fillId="0" borderId="1" xfId="0" applyNumberFormat="1" applyFont="1" applyFill="1" applyBorder="1" applyAlignment="1">
      <alignment horizontal="center" vertical="center" wrapText="1"/>
    </xf>
    <xf numFmtId="49" fontId="3" fillId="0" borderId="1" xfId="2" applyNumberFormat="1" applyFont="1" applyFill="1" applyBorder="1" applyAlignment="1">
      <alignment horizontal="left" vertical="center" wrapText="1"/>
    </xf>
    <xf numFmtId="49" fontId="3" fillId="0" borderId="1" xfId="2" applyNumberFormat="1" applyFont="1" applyFill="1" applyBorder="1" applyAlignment="1">
      <alignment horizontal="left" vertical="center" wrapText="1"/>
    </xf>
    <xf numFmtId="0" fontId="8" fillId="0" borderId="4" xfId="2" applyFont="1" applyFill="1" applyBorder="1" applyAlignment="1">
      <alignment horizontal="center" vertical="center" wrapText="1"/>
    </xf>
    <xf numFmtId="0" fontId="8" fillId="0" borderId="4" xfId="2" applyFont="1" applyFill="1" applyBorder="1" applyAlignment="1">
      <alignment horizontal="left" vertical="center" wrapText="1"/>
    </xf>
    <xf numFmtId="0" fontId="8" fillId="0" borderId="4" xfId="2" applyFont="1" applyFill="1" applyBorder="1" applyAlignment="1">
      <alignment horizontal="center" wrapText="1"/>
    </xf>
    <xf numFmtId="49" fontId="8" fillId="0" borderId="4" xfId="2" applyNumberFormat="1" applyFont="1" applyFill="1" applyBorder="1" applyAlignment="1">
      <alignment horizontal="center" vertical="center" wrapText="1"/>
    </xf>
    <xf numFmtId="0" fontId="8" fillId="0" borderId="4" xfId="2" applyFont="1" applyFill="1" applyBorder="1" applyAlignment="1">
      <alignment horizontal="center" vertical="center"/>
    </xf>
    <xf numFmtId="3" fontId="8" fillId="0" borderId="4" xfId="2" applyNumberFormat="1" applyFont="1" applyFill="1" applyBorder="1" applyAlignment="1">
      <alignment horizontal="right" vertical="center" wrapText="1"/>
    </xf>
    <xf numFmtId="3" fontId="7" fillId="0" borderId="4" xfId="2" applyNumberFormat="1" applyFont="1" applyFill="1" applyBorder="1" applyAlignment="1">
      <alignment horizontal="right" vertical="center" wrapText="1"/>
    </xf>
    <xf numFmtId="3" fontId="8" fillId="0" borderId="4" xfId="2" applyNumberFormat="1" applyFont="1" applyFill="1" applyBorder="1" applyAlignment="1">
      <alignment horizontal="center" vertical="center" wrapText="1"/>
    </xf>
    <xf numFmtId="0" fontId="8" fillId="0" borderId="4" xfId="2" applyFont="1" applyFill="1" applyBorder="1" applyAlignment="1">
      <alignment vertical="center" wrapText="1"/>
    </xf>
    <xf numFmtId="0" fontId="8" fillId="0" borderId="0" xfId="2" applyFont="1" applyFill="1" applyAlignment="1">
      <alignment horizontal="center" vertical="center" wrapText="1"/>
    </xf>
    <xf numFmtId="3" fontId="8" fillId="0" borderId="0" xfId="2" applyNumberFormat="1" applyFont="1" applyFill="1" applyAlignment="1">
      <alignment horizontal="right" vertical="center" wrapText="1"/>
    </xf>
    <xf numFmtId="3" fontId="7" fillId="0" borderId="0" xfId="2" applyNumberFormat="1" applyFont="1" applyFill="1" applyAlignment="1">
      <alignment horizontal="right" vertical="center" wrapText="1"/>
    </xf>
  </cellXfs>
  <cellStyles count="8">
    <cellStyle name="Comma" xfId="1" builtinId="3"/>
    <cellStyle name="Comma 2" xfId="4" xr:uid="{00000000-0005-0000-0000-000001000000}"/>
    <cellStyle name="Comma 3 2" xfId="6" xr:uid="{00000000-0005-0000-0000-000002000000}"/>
    <cellStyle name="Normal" xfId="0" builtinId="0"/>
    <cellStyle name="Normal 16" xfId="7" xr:uid="{00000000-0005-0000-0000-000004000000}"/>
    <cellStyle name="Normal 2" xfId="2" xr:uid="{00000000-0005-0000-0000-000005000000}"/>
    <cellStyle name="Normal 3" xfId="3" xr:uid="{00000000-0005-0000-0000-000006000000}"/>
    <cellStyle name="Normal 3 2" xfId="5" xr:uid="{00000000-0005-0000-0000-000007000000}"/>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1545432</xdr:colOff>
      <xdr:row>0</xdr:row>
      <xdr:rowOff>735806</xdr:rowOff>
    </xdr:from>
    <xdr:to>
      <xdr:col>2</xdr:col>
      <xdr:colOff>882016</xdr:colOff>
      <xdr:row>0</xdr:row>
      <xdr:rowOff>735806</xdr:rowOff>
    </xdr:to>
    <xdr:cxnSp macro="">
      <xdr:nvCxnSpPr>
        <xdr:cNvPr id="2" name="Straight Connector 1">
          <a:extLst>
            <a:ext uri="{FF2B5EF4-FFF2-40B4-BE49-F238E27FC236}">
              <a16:creationId xmlns:a16="http://schemas.microsoft.com/office/drawing/2014/main" id="{C99C19C5-90F6-41CA-838E-FA72BB517A12}"/>
            </a:ext>
          </a:extLst>
        </xdr:cNvPr>
        <xdr:cNvCxnSpPr/>
      </xdr:nvCxnSpPr>
      <xdr:spPr>
        <a:xfrm>
          <a:off x="1964532" y="735806"/>
          <a:ext cx="191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254790</xdr:colOff>
      <xdr:row>0</xdr:row>
      <xdr:rowOff>764381</xdr:rowOff>
    </xdr:from>
    <xdr:to>
      <xdr:col>14</xdr:col>
      <xdr:colOff>294319</xdr:colOff>
      <xdr:row>0</xdr:row>
      <xdr:rowOff>764381</xdr:rowOff>
    </xdr:to>
    <xdr:cxnSp macro="">
      <xdr:nvCxnSpPr>
        <xdr:cNvPr id="3" name="Straight Connector 2">
          <a:extLst>
            <a:ext uri="{FF2B5EF4-FFF2-40B4-BE49-F238E27FC236}">
              <a16:creationId xmlns:a16="http://schemas.microsoft.com/office/drawing/2014/main" id="{62A99C54-547F-4BE3-8F4A-FE1F56DEF0A9}"/>
            </a:ext>
          </a:extLst>
        </xdr:cNvPr>
        <xdr:cNvCxnSpPr/>
      </xdr:nvCxnSpPr>
      <xdr:spPr>
        <a:xfrm>
          <a:off x="10322715" y="764381"/>
          <a:ext cx="218265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71"/>
  <sheetViews>
    <sheetView tabSelected="1" view="pageBreakPreview" zoomScale="60" zoomScaleNormal="80" workbookViewId="0">
      <selection activeCell="I19" sqref="I19"/>
    </sheetView>
  </sheetViews>
  <sheetFormatPr defaultRowHeight="18.75"/>
  <cols>
    <col min="1" max="1" width="4.88671875" style="1" customWidth="1"/>
    <col min="2" max="2" width="30.109375" style="4" customWidth="1"/>
    <col min="3" max="3" width="17.77734375" style="5" customWidth="1"/>
    <col min="4" max="4" width="16" style="1" customWidth="1"/>
    <col min="5" max="5" width="8" style="1" customWidth="1"/>
    <col min="6" max="6" width="7.109375" style="1" customWidth="1"/>
    <col min="7" max="7" width="4.77734375" style="1" bestFit="1" customWidth="1"/>
    <col min="8" max="8" width="5.6640625" style="136" bestFit="1" customWidth="1"/>
    <col min="9" max="9" width="5.88671875" style="6" customWidth="1"/>
    <col min="10" max="10" width="5.88671875" style="7" customWidth="1"/>
    <col min="11" max="11" width="9.77734375" style="137" customWidth="1"/>
    <col min="12" max="12" width="8.44140625" style="137" customWidth="1"/>
    <col min="13" max="13" width="10.88671875" style="138" customWidth="1"/>
    <col min="14" max="14" width="8" style="8" customWidth="1"/>
    <col min="15" max="15" width="33.21875" style="9" customWidth="1"/>
    <col min="16" max="159" width="8.88671875" style="1"/>
    <col min="160" max="160" width="5.6640625" style="1" bestFit="1" customWidth="1"/>
    <col min="161" max="161" width="34.5546875" style="1" customWidth="1"/>
    <col min="162" max="162" width="0" style="1" hidden="1" customWidth="1"/>
    <col min="163" max="163" width="16.6640625" style="1" customWidth="1"/>
    <col min="164" max="164" width="18.88671875" style="1" customWidth="1"/>
    <col min="165" max="165" width="8.109375" style="1" customWidth="1"/>
    <col min="166" max="166" width="4.88671875" style="1" bestFit="1" customWidth="1"/>
    <col min="167" max="167" width="4.88671875" style="1" customWidth="1"/>
    <col min="168" max="168" width="6" style="1" customWidth="1"/>
    <col min="169" max="169" width="8.109375" style="1" customWidth="1"/>
    <col min="170" max="170" width="10.88671875" style="1" customWidth="1"/>
    <col min="171" max="171" width="10" style="1" customWidth="1"/>
    <col min="172" max="172" width="11.109375" style="1" customWidth="1"/>
    <col min="173" max="173" width="13.21875" style="1" customWidth="1"/>
    <col min="174" max="174" width="12.44140625" style="1" customWidth="1"/>
    <col min="175" max="175" width="8.44140625" style="1" customWidth="1"/>
    <col min="176" max="176" width="34.5546875" style="1" customWidth="1"/>
    <col min="177" max="177" width="0" style="1" hidden="1" customWidth="1"/>
    <col min="178" max="178" width="8.88671875" style="1"/>
    <col min="179" max="179" width="52.5546875" style="1" customWidth="1"/>
    <col min="180" max="415" width="8.88671875" style="1"/>
    <col min="416" max="416" width="5.6640625" style="1" bestFit="1" customWidth="1"/>
    <col min="417" max="417" width="34.5546875" style="1" customWidth="1"/>
    <col min="418" max="418" width="0" style="1" hidden="1" customWidth="1"/>
    <col min="419" max="419" width="16.6640625" style="1" customWidth="1"/>
    <col min="420" max="420" width="18.88671875" style="1" customWidth="1"/>
    <col min="421" max="421" width="8.109375" style="1" customWidth="1"/>
    <col min="422" max="422" width="4.88671875" style="1" bestFit="1" customWidth="1"/>
    <col min="423" max="423" width="4.88671875" style="1" customWidth="1"/>
    <col min="424" max="424" width="6" style="1" customWidth="1"/>
    <col min="425" max="425" width="8.109375" style="1" customWidth="1"/>
    <col min="426" max="426" width="10.88671875" style="1" customWidth="1"/>
    <col min="427" max="427" width="10" style="1" customWidth="1"/>
    <col min="428" max="428" width="11.109375" style="1" customWidth="1"/>
    <col min="429" max="429" width="13.21875" style="1" customWidth="1"/>
    <col min="430" max="430" width="12.44140625" style="1" customWidth="1"/>
    <col min="431" max="431" width="8.44140625" style="1" customWidth="1"/>
    <col min="432" max="432" width="34.5546875" style="1" customWidth="1"/>
    <col min="433" max="433" width="0" style="1" hidden="1" customWidth="1"/>
    <col min="434" max="434" width="8.88671875" style="1"/>
    <col min="435" max="435" width="52.5546875" style="1" customWidth="1"/>
    <col min="436" max="671" width="8.88671875" style="1"/>
    <col min="672" max="672" width="5.6640625" style="1" bestFit="1" customWidth="1"/>
    <col min="673" max="673" width="34.5546875" style="1" customWidth="1"/>
    <col min="674" max="674" width="0" style="1" hidden="1" customWidth="1"/>
    <col min="675" max="675" width="16.6640625" style="1" customWidth="1"/>
    <col min="676" max="676" width="18.88671875" style="1" customWidth="1"/>
    <col min="677" max="677" width="8.109375" style="1" customWidth="1"/>
    <col min="678" max="678" width="4.88671875" style="1" bestFit="1" customWidth="1"/>
    <col min="679" max="679" width="4.88671875" style="1" customWidth="1"/>
    <col min="680" max="680" width="6" style="1" customWidth="1"/>
    <col min="681" max="681" width="8.109375" style="1" customWidth="1"/>
    <col min="682" max="682" width="10.88671875" style="1" customWidth="1"/>
    <col min="683" max="683" width="10" style="1" customWidth="1"/>
    <col min="684" max="684" width="11.109375" style="1" customWidth="1"/>
    <col min="685" max="685" width="13.21875" style="1" customWidth="1"/>
    <col min="686" max="686" width="12.44140625" style="1" customWidth="1"/>
    <col min="687" max="687" width="8.44140625" style="1" customWidth="1"/>
    <col min="688" max="688" width="34.5546875" style="1" customWidth="1"/>
    <col min="689" max="689" width="0" style="1" hidden="1" customWidth="1"/>
    <col min="690" max="690" width="8.88671875" style="1"/>
    <col min="691" max="691" width="52.5546875" style="1" customWidth="1"/>
    <col min="692" max="927" width="8.88671875" style="1"/>
    <col min="928" max="928" width="5.6640625" style="1" bestFit="1" customWidth="1"/>
    <col min="929" max="929" width="34.5546875" style="1" customWidth="1"/>
    <col min="930" max="930" width="0" style="1" hidden="1" customWidth="1"/>
    <col min="931" max="931" width="16.6640625" style="1" customWidth="1"/>
    <col min="932" max="932" width="18.88671875" style="1" customWidth="1"/>
    <col min="933" max="933" width="8.109375" style="1" customWidth="1"/>
    <col min="934" max="934" width="4.88671875" style="1" bestFit="1" customWidth="1"/>
    <col min="935" max="935" width="4.88671875" style="1" customWidth="1"/>
    <col min="936" max="936" width="6" style="1" customWidth="1"/>
    <col min="937" max="937" width="8.109375" style="1" customWidth="1"/>
    <col min="938" max="938" width="10.88671875" style="1" customWidth="1"/>
    <col min="939" max="939" width="10" style="1" customWidth="1"/>
    <col min="940" max="940" width="11.109375" style="1" customWidth="1"/>
    <col min="941" max="941" width="13.21875" style="1" customWidth="1"/>
    <col min="942" max="942" width="12.44140625" style="1" customWidth="1"/>
    <col min="943" max="943" width="8.44140625" style="1" customWidth="1"/>
    <col min="944" max="944" width="34.5546875" style="1" customWidth="1"/>
    <col min="945" max="945" width="0" style="1" hidden="1" customWidth="1"/>
    <col min="946" max="946" width="8.88671875" style="1"/>
    <col min="947" max="947" width="52.5546875" style="1" customWidth="1"/>
    <col min="948" max="1183" width="8.88671875" style="1"/>
    <col min="1184" max="1184" width="5.6640625" style="1" bestFit="1" customWidth="1"/>
    <col min="1185" max="1185" width="34.5546875" style="1" customWidth="1"/>
    <col min="1186" max="1186" width="0" style="1" hidden="1" customWidth="1"/>
    <col min="1187" max="1187" width="16.6640625" style="1" customWidth="1"/>
    <col min="1188" max="1188" width="18.88671875" style="1" customWidth="1"/>
    <col min="1189" max="1189" width="8.109375" style="1" customWidth="1"/>
    <col min="1190" max="1190" width="4.88671875" style="1" bestFit="1" customWidth="1"/>
    <col min="1191" max="1191" width="4.88671875" style="1" customWidth="1"/>
    <col min="1192" max="1192" width="6" style="1" customWidth="1"/>
    <col min="1193" max="1193" width="8.109375" style="1" customWidth="1"/>
    <col min="1194" max="1194" width="10.88671875" style="1" customWidth="1"/>
    <col min="1195" max="1195" width="10" style="1" customWidth="1"/>
    <col min="1196" max="1196" width="11.109375" style="1" customWidth="1"/>
    <col min="1197" max="1197" width="13.21875" style="1" customWidth="1"/>
    <col min="1198" max="1198" width="12.44140625" style="1" customWidth="1"/>
    <col min="1199" max="1199" width="8.44140625" style="1" customWidth="1"/>
    <col min="1200" max="1200" width="34.5546875" style="1" customWidth="1"/>
    <col min="1201" max="1201" width="0" style="1" hidden="1" customWidth="1"/>
    <col min="1202" max="1202" width="8.88671875" style="1"/>
    <col min="1203" max="1203" width="52.5546875" style="1" customWidth="1"/>
    <col min="1204" max="1439" width="8.88671875" style="1"/>
    <col min="1440" max="1440" width="5.6640625" style="1" bestFit="1" customWidth="1"/>
    <col min="1441" max="1441" width="34.5546875" style="1" customWidth="1"/>
    <col min="1442" max="1442" width="0" style="1" hidden="1" customWidth="1"/>
    <col min="1443" max="1443" width="16.6640625" style="1" customWidth="1"/>
    <col min="1444" max="1444" width="18.88671875" style="1" customWidth="1"/>
    <col min="1445" max="1445" width="8.109375" style="1" customWidth="1"/>
    <col min="1446" max="1446" width="4.88671875" style="1" bestFit="1" customWidth="1"/>
    <col min="1447" max="1447" width="4.88671875" style="1" customWidth="1"/>
    <col min="1448" max="1448" width="6" style="1" customWidth="1"/>
    <col min="1449" max="1449" width="8.109375" style="1" customWidth="1"/>
    <col min="1450" max="1450" width="10.88671875" style="1" customWidth="1"/>
    <col min="1451" max="1451" width="10" style="1" customWidth="1"/>
    <col min="1452" max="1452" width="11.109375" style="1" customWidth="1"/>
    <col min="1453" max="1453" width="13.21875" style="1" customWidth="1"/>
    <col min="1454" max="1454" width="12.44140625" style="1" customWidth="1"/>
    <col min="1455" max="1455" width="8.44140625" style="1" customWidth="1"/>
    <col min="1456" max="1456" width="34.5546875" style="1" customWidth="1"/>
    <col min="1457" max="1457" width="0" style="1" hidden="1" customWidth="1"/>
    <col min="1458" max="1458" width="8.88671875" style="1"/>
    <col min="1459" max="1459" width="52.5546875" style="1" customWidth="1"/>
    <col min="1460" max="1695" width="8.88671875" style="1"/>
    <col min="1696" max="1696" width="5.6640625" style="1" bestFit="1" customWidth="1"/>
    <col min="1697" max="1697" width="34.5546875" style="1" customWidth="1"/>
    <col min="1698" max="1698" width="0" style="1" hidden="1" customWidth="1"/>
    <col min="1699" max="1699" width="16.6640625" style="1" customWidth="1"/>
    <col min="1700" max="1700" width="18.88671875" style="1" customWidth="1"/>
    <col min="1701" max="1701" width="8.109375" style="1" customWidth="1"/>
    <col min="1702" max="1702" width="4.88671875" style="1" bestFit="1" customWidth="1"/>
    <col min="1703" max="1703" width="4.88671875" style="1" customWidth="1"/>
    <col min="1704" max="1704" width="6" style="1" customWidth="1"/>
    <col min="1705" max="1705" width="8.109375" style="1" customWidth="1"/>
    <col min="1706" max="1706" width="10.88671875" style="1" customWidth="1"/>
    <col min="1707" max="1707" width="10" style="1" customWidth="1"/>
    <col min="1708" max="1708" width="11.109375" style="1" customWidth="1"/>
    <col min="1709" max="1709" width="13.21875" style="1" customWidth="1"/>
    <col min="1710" max="1710" width="12.44140625" style="1" customWidth="1"/>
    <col min="1711" max="1711" width="8.44140625" style="1" customWidth="1"/>
    <col min="1712" max="1712" width="34.5546875" style="1" customWidth="1"/>
    <col min="1713" max="1713" width="0" style="1" hidden="1" customWidth="1"/>
    <col min="1714" max="1714" width="8.88671875" style="1"/>
    <col min="1715" max="1715" width="52.5546875" style="1" customWidth="1"/>
    <col min="1716" max="1951" width="8.88671875" style="1"/>
    <col min="1952" max="1952" width="5.6640625" style="1" bestFit="1" customWidth="1"/>
    <col min="1953" max="1953" width="34.5546875" style="1" customWidth="1"/>
    <col min="1954" max="1954" width="0" style="1" hidden="1" customWidth="1"/>
    <col min="1955" max="1955" width="16.6640625" style="1" customWidth="1"/>
    <col min="1956" max="1956" width="18.88671875" style="1" customWidth="1"/>
    <col min="1957" max="1957" width="8.109375" style="1" customWidth="1"/>
    <col min="1958" max="1958" width="4.88671875" style="1" bestFit="1" customWidth="1"/>
    <col min="1959" max="1959" width="4.88671875" style="1" customWidth="1"/>
    <col min="1960" max="1960" width="6" style="1" customWidth="1"/>
    <col min="1961" max="1961" width="8.109375" style="1" customWidth="1"/>
    <col min="1962" max="1962" width="10.88671875" style="1" customWidth="1"/>
    <col min="1963" max="1963" width="10" style="1" customWidth="1"/>
    <col min="1964" max="1964" width="11.109375" style="1" customWidth="1"/>
    <col min="1965" max="1965" width="13.21875" style="1" customWidth="1"/>
    <col min="1966" max="1966" width="12.44140625" style="1" customWidth="1"/>
    <col min="1967" max="1967" width="8.44140625" style="1" customWidth="1"/>
    <col min="1968" max="1968" width="34.5546875" style="1" customWidth="1"/>
    <col min="1969" max="1969" width="0" style="1" hidden="1" customWidth="1"/>
    <col min="1970" max="1970" width="8.88671875" style="1"/>
    <col min="1971" max="1971" width="52.5546875" style="1" customWidth="1"/>
    <col min="1972" max="2207" width="8.88671875" style="1"/>
    <col min="2208" max="2208" width="5.6640625" style="1" bestFit="1" customWidth="1"/>
    <col min="2209" max="2209" width="34.5546875" style="1" customWidth="1"/>
    <col min="2210" max="2210" width="0" style="1" hidden="1" customWidth="1"/>
    <col min="2211" max="2211" width="16.6640625" style="1" customWidth="1"/>
    <col min="2212" max="2212" width="18.88671875" style="1" customWidth="1"/>
    <col min="2213" max="2213" width="8.109375" style="1" customWidth="1"/>
    <col min="2214" max="2214" width="4.88671875" style="1" bestFit="1" customWidth="1"/>
    <col min="2215" max="2215" width="4.88671875" style="1" customWidth="1"/>
    <col min="2216" max="2216" width="6" style="1" customWidth="1"/>
    <col min="2217" max="2217" width="8.109375" style="1" customWidth="1"/>
    <col min="2218" max="2218" width="10.88671875" style="1" customWidth="1"/>
    <col min="2219" max="2219" width="10" style="1" customWidth="1"/>
    <col min="2220" max="2220" width="11.109375" style="1" customWidth="1"/>
    <col min="2221" max="2221" width="13.21875" style="1" customWidth="1"/>
    <col min="2222" max="2222" width="12.44140625" style="1" customWidth="1"/>
    <col min="2223" max="2223" width="8.44140625" style="1" customWidth="1"/>
    <col min="2224" max="2224" width="34.5546875" style="1" customWidth="1"/>
    <col min="2225" max="2225" width="0" style="1" hidden="1" customWidth="1"/>
    <col min="2226" max="2226" width="8.88671875" style="1"/>
    <col min="2227" max="2227" width="52.5546875" style="1" customWidth="1"/>
    <col min="2228" max="2463" width="8.88671875" style="1"/>
    <col min="2464" max="2464" width="5.6640625" style="1" bestFit="1" customWidth="1"/>
    <col min="2465" max="2465" width="34.5546875" style="1" customWidth="1"/>
    <col min="2466" max="2466" width="0" style="1" hidden="1" customWidth="1"/>
    <col min="2467" max="2467" width="16.6640625" style="1" customWidth="1"/>
    <col min="2468" max="2468" width="18.88671875" style="1" customWidth="1"/>
    <col min="2469" max="2469" width="8.109375" style="1" customWidth="1"/>
    <col min="2470" max="2470" width="4.88671875" style="1" bestFit="1" customWidth="1"/>
    <col min="2471" max="2471" width="4.88671875" style="1" customWidth="1"/>
    <col min="2472" max="2472" width="6" style="1" customWidth="1"/>
    <col min="2473" max="2473" width="8.109375" style="1" customWidth="1"/>
    <col min="2474" max="2474" width="10.88671875" style="1" customWidth="1"/>
    <col min="2475" max="2475" width="10" style="1" customWidth="1"/>
    <col min="2476" max="2476" width="11.109375" style="1" customWidth="1"/>
    <col min="2477" max="2477" width="13.21875" style="1" customWidth="1"/>
    <col min="2478" max="2478" width="12.44140625" style="1" customWidth="1"/>
    <col min="2479" max="2479" width="8.44140625" style="1" customWidth="1"/>
    <col min="2480" max="2480" width="34.5546875" style="1" customWidth="1"/>
    <col min="2481" max="2481" width="0" style="1" hidden="1" customWidth="1"/>
    <col min="2482" max="2482" width="8.88671875" style="1"/>
    <col min="2483" max="2483" width="52.5546875" style="1" customWidth="1"/>
    <col min="2484" max="2719" width="8.88671875" style="1"/>
    <col min="2720" max="2720" width="5.6640625" style="1" bestFit="1" customWidth="1"/>
    <col min="2721" max="2721" width="34.5546875" style="1" customWidth="1"/>
    <col min="2722" max="2722" width="0" style="1" hidden="1" customWidth="1"/>
    <col min="2723" max="2723" width="16.6640625" style="1" customWidth="1"/>
    <col min="2724" max="2724" width="18.88671875" style="1" customWidth="1"/>
    <col min="2725" max="2725" width="8.109375" style="1" customWidth="1"/>
    <col min="2726" max="2726" width="4.88671875" style="1" bestFit="1" customWidth="1"/>
    <col min="2727" max="2727" width="4.88671875" style="1" customWidth="1"/>
    <col min="2728" max="2728" width="6" style="1" customWidth="1"/>
    <col min="2729" max="2729" width="8.109375" style="1" customWidth="1"/>
    <col min="2730" max="2730" width="10.88671875" style="1" customWidth="1"/>
    <col min="2731" max="2731" width="10" style="1" customWidth="1"/>
    <col min="2732" max="2732" width="11.109375" style="1" customWidth="1"/>
    <col min="2733" max="2733" width="13.21875" style="1" customWidth="1"/>
    <col min="2734" max="2734" width="12.44140625" style="1" customWidth="1"/>
    <col min="2735" max="2735" width="8.44140625" style="1" customWidth="1"/>
    <col min="2736" max="2736" width="34.5546875" style="1" customWidth="1"/>
    <col min="2737" max="2737" width="0" style="1" hidden="1" customWidth="1"/>
    <col min="2738" max="2738" width="8.88671875" style="1"/>
    <col min="2739" max="2739" width="52.5546875" style="1" customWidth="1"/>
    <col min="2740" max="2975" width="8.88671875" style="1"/>
    <col min="2976" max="2976" width="5.6640625" style="1" bestFit="1" customWidth="1"/>
    <col min="2977" max="2977" width="34.5546875" style="1" customWidth="1"/>
    <col min="2978" max="2978" width="0" style="1" hidden="1" customWidth="1"/>
    <col min="2979" max="2979" width="16.6640625" style="1" customWidth="1"/>
    <col min="2980" max="2980" width="18.88671875" style="1" customWidth="1"/>
    <col min="2981" max="2981" width="8.109375" style="1" customWidth="1"/>
    <col min="2982" max="2982" width="4.88671875" style="1" bestFit="1" customWidth="1"/>
    <col min="2983" max="2983" width="4.88671875" style="1" customWidth="1"/>
    <col min="2984" max="2984" width="6" style="1" customWidth="1"/>
    <col min="2985" max="2985" width="8.109375" style="1" customWidth="1"/>
    <col min="2986" max="2986" width="10.88671875" style="1" customWidth="1"/>
    <col min="2987" max="2987" width="10" style="1" customWidth="1"/>
    <col min="2988" max="2988" width="11.109375" style="1" customWidth="1"/>
    <col min="2989" max="2989" width="13.21875" style="1" customWidth="1"/>
    <col min="2990" max="2990" width="12.44140625" style="1" customWidth="1"/>
    <col min="2991" max="2991" width="8.44140625" style="1" customWidth="1"/>
    <col min="2992" max="2992" width="34.5546875" style="1" customWidth="1"/>
    <col min="2993" max="2993" width="0" style="1" hidden="1" customWidth="1"/>
    <col min="2994" max="2994" width="8.88671875" style="1"/>
    <col min="2995" max="2995" width="52.5546875" style="1" customWidth="1"/>
    <col min="2996" max="3231" width="8.88671875" style="1"/>
    <col min="3232" max="3232" width="5.6640625" style="1" bestFit="1" customWidth="1"/>
    <col min="3233" max="3233" width="34.5546875" style="1" customWidth="1"/>
    <col min="3234" max="3234" width="0" style="1" hidden="1" customWidth="1"/>
    <col min="3235" max="3235" width="16.6640625" style="1" customWidth="1"/>
    <col min="3236" max="3236" width="18.88671875" style="1" customWidth="1"/>
    <col min="3237" max="3237" width="8.109375" style="1" customWidth="1"/>
    <col min="3238" max="3238" width="4.88671875" style="1" bestFit="1" customWidth="1"/>
    <col min="3239" max="3239" width="4.88671875" style="1" customWidth="1"/>
    <col min="3240" max="3240" width="6" style="1" customWidth="1"/>
    <col min="3241" max="3241" width="8.109375" style="1" customWidth="1"/>
    <col min="3242" max="3242" width="10.88671875" style="1" customWidth="1"/>
    <col min="3243" max="3243" width="10" style="1" customWidth="1"/>
    <col min="3244" max="3244" width="11.109375" style="1" customWidth="1"/>
    <col min="3245" max="3245" width="13.21875" style="1" customWidth="1"/>
    <col min="3246" max="3246" width="12.44140625" style="1" customWidth="1"/>
    <col min="3247" max="3247" width="8.44140625" style="1" customWidth="1"/>
    <col min="3248" max="3248" width="34.5546875" style="1" customWidth="1"/>
    <col min="3249" max="3249" width="0" style="1" hidden="1" customWidth="1"/>
    <col min="3250" max="3250" width="8.88671875" style="1"/>
    <col min="3251" max="3251" width="52.5546875" style="1" customWidth="1"/>
    <col min="3252" max="3487" width="8.88671875" style="1"/>
    <col min="3488" max="3488" width="5.6640625" style="1" bestFit="1" customWidth="1"/>
    <col min="3489" max="3489" width="34.5546875" style="1" customWidth="1"/>
    <col min="3490" max="3490" width="0" style="1" hidden="1" customWidth="1"/>
    <col min="3491" max="3491" width="16.6640625" style="1" customWidth="1"/>
    <col min="3492" max="3492" width="18.88671875" style="1" customWidth="1"/>
    <col min="3493" max="3493" width="8.109375" style="1" customWidth="1"/>
    <col min="3494" max="3494" width="4.88671875" style="1" bestFit="1" customWidth="1"/>
    <col min="3495" max="3495" width="4.88671875" style="1" customWidth="1"/>
    <col min="3496" max="3496" width="6" style="1" customWidth="1"/>
    <col min="3497" max="3497" width="8.109375" style="1" customWidth="1"/>
    <col min="3498" max="3498" width="10.88671875" style="1" customWidth="1"/>
    <col min="3499" max="3499" width="10" style="1" customWidth="1"/>
    <col min="3500" max="3500" width="11.109375" style="1" customWidth="1"/>
    <col min="3501" max="3501" width="13.21875" style="1" customWidth="1"/>
    <col min="3502" max="3502" width="12.44140625" style="1" customWidth="1"/>
    <col min="3503" max="3503" width="8.44140625" style="1" customWidth="1"/>
    <col min="3504" max="3504" width="34.5546875" style="1" customWidth="1"/>
    <col min="3505" max="3505" width="0" style="1" hidden="1" customWidth="1"/>
    <col min="3506" max="3506" width="8.88671875" style="1"/>
    <col min="3507" max="3507" width="52.5546875" style="1" customWidth="1"/>
    <col min="3508" max="3743" width="8.88671875" style="1"/>
    <col min="3744" max="3744" width="5.6640625" style="1" bestFit="1" customWidth="1"/>
    <col min="3745" max="3745" width="34.5546875" style="1" customWidth="1"/>
    <col min="3746" max="3746" width="0" style="1" hidden="1" customWidth="1"/>
    <col min="3747" max="3747" width="16.6640625" style="1" customWidth="1"/>
    <col min="3748" max="3748" width="18.88671875" style="1" customWidth="1"/>
    <col min="3749" max="3749" width="8.109375" style="1" customWidth="1"/>
    <col min="3750" max="3750" width="4.88671875" style="1" bestFit="1" customWidth="1"/>
    <col min="3751" max="3751" width="4.88671875" style="1" customWidth="1"/>
    <col min="3752" max="3752" width="6" style="1" customWidth="1"/>
    <col min="3753" max="3753" width="8.109375" style="1" customWidth="1"/>
    <col min="3754" max="3754" width="10.88671875" style="1" customWidth="1"/>
    <col min="3755" max="3755" width="10" style="1" customWidth="1"/>
    <col min="3756" max="3756" width="11.109375" style="1" customWidth="1"/>
    <col min="3757" max="3757" width="13.21875" style="1" customWidth="1"/>
    <col min="3758" max="3758" width="12.44140625" style="1" customWidth="1"/>
    <col min="3759" max="3759" width="8.44140625" style="1" customWidth="1"/>
    <col min="3760" max="3760" width="34.5546875" style="1" customWidth="1"/>
    <col min="3761" max="3761" width="0" style="1" hidden="1" customWidth="1"/>
    <col min="3762" max="3762" width="8.88671875" style="1"/>
    <col min="3763" max="3763" width="52.5546875" style="1" customWidth="1"/>
    <col min="3764" max="3999" width="8.88671875" style="1"/>
    <col min="4000" max="4000" width="5.6640625" style="1" bestFit="1" customWidth="1"/>
    <col min="4001" max="4001" width="34.5546875" style="1" customWidth="1"/>
    <col min="4002" max="4002" width="0" style="1" hidden="1" customWidth="1"/>
    <col min="4003" max="4003" width="16.6640625" style="1" customWidth="1"/>
    <col min="4004" max="4004" width="18.88671875" style="1" customWidth="1"/>
    <col min="4005" max="4005" width="8.109375" style="1" customWidth="1"/>
    <col min="4006" max="4006" width="4.88671875" style="1" bestFit="1" customWidth="1"/>
    <col min="4007" max="4007" width="4.88671875" style="1" customWidth="1"/>
    <col min="4008" max="4008" width="6" style="1" customWidth="1"/>
    <col min="4009" max="4009" width="8.109375" style="1" customWidth="1"/>
    <col min="4010" max="4010" width="10.88671875" style="1" customWidth="1"/>
    <col min="4011" max="4011" width="10" style="1" customWidth="1"/>
    <col min="4012" max="4012" width="11.109375" style="1" customWidth="1"/>
    <col min="4013" max="4013" width="13.21875" style="1" customWidth="1"/>
    <col min="4014" max="4014" width="12.44140625" style="1" customWidth="1"/>
    <col min="4015" max="4015" width="8.44140625" style="1" customWidth="1"/>
    <col min="4016" max="4016" width="34.5546875" style="1" customWidth="1"/>
    <col min="4017" max="4017" width="0" style="1" hidden="1" customWidth="1"/>
    <col min="4018" max="4018" width="8.88671875" style="1"/>
    <col min="4019" max="4019" width="52.5546875" style="1" customWidth="1"/>
    <col min="4020" max="4255" width="8.88671875" style="1"/>
    <col min="4256" max="4256" width="5.6640625" style="1" bestFit="1" customWidth="1"/>
    <col min="4257" max="4257" width="34.5546875" style="1" customWidth="1"/>
    <col min="4258" max="4258" width="0" style="1" hidden="1" customWidth="1"/>
    <col min="4259" max="4259" width="16.6640625" style="1" customWidth="1"/>
    <col min="4260" max="4260" width="18.88671875" style="1" customWidth="1"/>
    <col min="4261" max="4261" width="8.109375" style="1" customWidth="1"/>
    <col min="4262" max="4262" width="4.88671875" style="1" bestFit="1" customWidth="1"/>
    <col min="4263" max="4263" width="4.88671875" style="1" customWidth="1"/>
    <col min="4264" max="4264" width="6" style="1" customWidth="1"/>
    <col min="4265" max="4265" width="8.109375" style="1" customWidth="1"/>
    <col min="4266" max="4266" width="10.88671875" style="1" customWidth="1"/>
    <col min="4267" max="4267" width="10" style="1" customWidth="1"/>
    <col min="4268" max="4268" width="11.109375" style="1" customWidth="1"/>
    <col min="4269" max="4269" width="13.21875" style="1" customWidth="1"/>
    <col min="4270" max="4270" width="12.44140625" style="1" customWidth="1"/>
    <col min="4271" max="4271" width="8.44140625" style="1" customWidth="1"/>
    <col min="4272" max="4272" width="34.5546875" style="1" customWidth="1"/>
    <col min="4273" max="4273" width="0" style="1" hidden="1" customWidth="1"/>
    <col min="4274" max="4274" width="8.88671875" style="1"/>
    <col min="4275" max="4275" width="52.5546875" style="1" customWidth="1"/>
    <col min="4276" max="4511" width="8.88671875" style="1"/>
    <col min="4512" max="4512" width="5.6640625" style="1" bestFit="1" customWidth="1"/>
    <col min="4513" max="4513" width="34.5546875" style="1" customWidth="1"/>
    <col min="4514" max="4514" width="0" style="1" hidden="1" customWidth="1"/>
    <col min="4515" max="4515" width="16.6640625" style="1" customWidth="1"/>
    <col min="4516" max="4516" width="18.88671875" style="1" customWidth="1"/>
    <col min="4517" max="4517" width="8.109375" style="1" customWidth="1"/>
    <col min="4518" max="4518" width="4.88671875" style="1" bestFit="1" customWidth="1"/>
    <col min="4519" max="4519" width="4.88671875" style="1" customWidth="1"/>
    <col min="4520" max="4520" width="6" style="1" customWidth="1"/>
    <col min="4521" max="4521" width="8.109375" style="1" customWidth="1"/>
    <col min="4522" max="4522" width="10.88671875" style="1" customWidth="1"/>
    <col min="4523" max="4523" width="10" style="1" customWidth="1"/>
    <col min="4524" max="4524" width="11.109375" style="1" customWidth="1"/>
    <col min="4525" max="4525" width="13.21875" style="1" customWidth="1"/>
    <col min="4526" max="4526" width="12.44140625" style="1" customWidth="1"/>
    <col min="4527" max="4527" width="8.44140625" style="1" customWidth="1"/>
    <col min="4528" max="4528" width="34.5546875" style="1" customWidth="1"/>
    <col min="4529" max="4529" width="0" style="1" hidden="1" customWidth="1"/>
    <col min="4530" max="4530" width="8.88671875" style="1"/>
    <col min="4531" max="4531" width="52.5546875" style="1" customWidth="1"/>
    <col min="4532" max="4767" width="8.88671875" style="1"/>
    <col min="4768" max="4768" width="5.6640625" style="1" bestFit="1" customWidth="1"/>
    <col min="4769" max="4769" width="34.5546875" style="1" customWidth="1"/>
    <col min="4770" max="4770" width="0" style="1" hidden="1" customWidth="1"/>
    <col min="4771" max="4771" width="16.6640625" style="1" customWidth="1"/>
    <col min="4772" max="4772" width="18.88671875" style="1" customWidth="1"/>
    <col min="4773" max="4773" width="8.109375" style="1" customWidth="1"/>
    <col min="4774" max="4774" width="4.88671875" style="1" bestFit="1" customWidth="1"/>
    <col min="4775" max="4775" width="4.88671875" style="1" customWidth="1"/>
    <col min="4776" max="4776" width="6" style="1" customWidth="1"/>
    <col min="4777" max="4777" width="8.109375" style="1" customWidth="1"/>
    <col min="4778" max="4778" width="10.88671875" style="1" customWidth="1"/>
    <col min="4779" max="4779" width="10" style="1" customWidth="1"/>
    <col min="4780" max="4780" width="11.109375" style="1" customWidth="1"/>
    <col min="4781" max="4781" width="13.21875" style="1" customWidth="1"/>
    <col min="4782" max="4782" width="12.44140625" style="1" customWidth="1"/>
    <col min="4783" max="4783" width="8.44140625" style="1" customWidth="1"/>
    <col min="4784" max="4784" width="34.5546875" style="1" customWidth="1"/>
    <col min="4785" max="4785" width="0" style="1" hidden="1" customWidth="1"/>
    <col min="4786" max="4786" width="8.88671875" style="1"/>
    <col min="4787" max="4787" width="52.5546875" style="1" customWidth="1"/>
    <col min="4788" max="5023" width="8.88671875" style="1"/>
    <col min="5024" max="5024" width="5.6640625" style="1" bestFit="1" customWidth="1"/>
    <col min="5025" max="5025" width="34.5546875" style="1" customWidth="1"/>
    <col min="5026" max="5026" width="0" style="1" hidden="1" customWidth="1"/>
    <col min="5027" max="5027" width="16.6640625" style="1" customWidth="1"/>
    <col min="5028" max="5028" width="18.88671875" style="1" customWidth="1"/>
    <col min="5029" max="5029" width="8.109375" style="1" customWidth="1"/>
    <col min="5030" max="5030" width="4.88671875" style="1" bestFit="1" customWidth="1"/>
    <col min="5031" max="5031" width="4.88671875" style="1" customWidth="1"/>
    <col min="5032" max="5032" width="6" style="1" customWidth="1"/>
    <col min="5033" max="5033" width="8.109375" style="1" customWidth="1"/>
    <col min="5034" max="5034" width="10.88671875" style="1" customWidth="1"/>
    <col min="5035" max="5035" width="10" style="1" customWidth="1"/>
    <col min="5036" max="5036" width="11.109375" style="1" customWidth="1"/>
    <col min="5037" max="5037" width="13.21875" style="1" customWidth="1"/>
    <col min="5038" max="5038" width="12.44140625" style="1" customWidth="1"/>
    <col min="5039" max="5039" width="8.44140625" style="1" customWidth="1"/>
    <col min="5040" max="5040" width="34.5546875" style="1" customWidth="1"/>
    <col min="5041" max="5041" width="0" style="1" hidden="1" customWidth="1"/>
    <col min="5042" max="5042" width="8.88671875" style="1"/>
    <col min="5043" max="5043" width="52.5546875" style="1" customWidth="1"/>
    <col min="5044" max="5279" width="8.88671875" style="1"/>
    <col min="5280" max="5280" width="5.6640625" style="1" bestFit="1" customWidth="1"/>
    <col min="5281" max="5281" width="34.5546875" style="1" customWidth="1"/>
    <col min="5282" max="5282" width="0" style="1" hidden="1" customWidth="1"/>
    <col min="5283" max="5283" width="16.6640625" style="1" customWidth="1"/>
    <col min="5284" max="5284" width="18.88671875" style="1" customWidth="1"/>
    <col min="5285" max="5285" width="8.109375" style="1" customWidth="1"/>
    <col min="5286" max="5286" width="4.88671875" style="1" bestFit="1" customWidth="1"/>
    <col min="5287" max="5287" width="4.88671875" style="1" customWidth="1"/>
    <col min="5288" max="5288" width="6" style="1" customWidth="1"/>
    <col min="5289" max="5289" width="8.109375" style="1" customWidth="1"/>
    <col min="5290" max="5290" width="10.88671875" style="1" customWidth="1"/>
    <col min="5291" max="5291" width="10" style="1" customWidth="1"/>
    <col min="5292" max="5292" width="11.109375" style="1" customWidth="1"/>
    <col min="5293" max="5293" width="13.21875" style="1" customWidth="1"/>
    <col min="5294" max="5294" width="12.44140625" style="1" customWidth="1"/>
    <col min="5295" max="5295" width="8.44140625" style="1" customWidth="1"/>
    <col min="5296" max="5296" width="34.5546875" style="1" customWidth="1"/>
    <col min="5297" max="5297" width="0" style="1" hidden="1" customWidth="1"/>
    <col min="5298" max="5298" width="8.88671875" style="1"/>
    <col min="5299" max="5299" width="52.5546875" style="1" customWidth="1"/>
    <col min="5300" max="5535" width="8.88671875" style="1"/>
    <col min="5536" max="5536" width="5.6640625" style="1" bestFit="1" customWidth="1"/>
    <col min="5537" max="5537" width="34.5546875" style="1" customWidth="1"/>
    <col min="5538" max="5538" width="0" style="1" hidden="1" customWidth="1"/>
    <col min="5539" max="5539" width="16.6640625" style="1" customWidth="1"/>
    <col min="5540" max="5540" width="18.88671875" style="1" customWidth="1"/>
    <col min="5541" max="5541" width="8.109375" style="1" customWidth="1"/>
    <col min="5542" max="5542" width="4.88671875" style="1" bestFit="1" customWidth="1"/>
    <col min="5543" max="5543" width="4.88671875" style="1" customWidth="1"/>
    <col min="5544" max="5544" width="6" style="1" customWidth="1"/>
    <col min="5545" max="5545" width="8.109375" style="1" customWidth="1"/>
    <col min="5546" max="5546" width="10.88671875" style="1" customWidth="1"/>
    <col min="5547" max="5547" width="10" style="1" customWidth="1"/>
    <col min="5548" max="5548" width="11.109375" style="1" customWidth="1"/>
    <col min="5549" max="5549" width="13.21875" style="1" customWidth="1"/>
    <col min="5550" max="5550" width="12.44140625" style="1" customWidth="1"/>
    <col min="5551" max="5551" width="8.44140625" style="1" customWidth="1"/>
    <col min="5552" max="5552" width="34.5546875" style="1" customWidth="1"/>
    <col min="5553" max="5553" width="0" style="1" hidden="1" customWidth="1"/>
    <col min="5554" max="5554" width="8.88671875" style="1"/>
    <col min="5555" max="5555" width="52.5546875" style="1" customWidth="1"/>
    <col min="5556" max="5791" width="8.88671875" style="1"/>
    <col min="5792" max="5792" width="5.6640625" style="1" bestFit="1" customWidth="1"/>
    <col min="5793" max="5793" width="34.5546875" style="1" customWidth="1"/>
    <col min="5794" max="5794" width="0" style="1" hidden="1" customWidth="1"/>
    <col min="5795" max="5795" width="16.6640625" style="1" customWidth="1"/>
    <col min="5796" max="5796" width="18.88671875" style="1" customWidth="1"/>
    <col min="5797" max="5797" width="8.109375" style="1" customWidth="1"/>
    <col min="5798" max="5798" width="4.88671875" style="1" bestFit="1" customWidth="1"/>
    <col min="5799" max="5799" width="4.88671875" style="1" customWidth="1"/>
    <col min="5800" max="5800" width="6" style="1" customWidth="1"/>
    <col min="5801" max="5801" width="8.109375" style="1" customWidth="1"/>
    <col min="5802" max="5802" width="10.88671875" style="1" customWidth="1"/>
    <col min="5803" max="5803" width="10" style="1" customWidth="1"/>
    <col min="5804" max="5804" width="11.109375" style="1" customWidth="1"/>
    <col min="5805" max="5805" width="13.21875" style="1" customWidth="1"/>
    <col min="5806" max="5806" width="12.44140625" style="1" customWidth="1"/>
    <col min="5807" max="5807" width="8.44140625" style="1" customWidth="1"/>
    <col min="5808" max="5808" width="34.5546875" style="1" customWidth="1"/>
    <col min="5809" max="5809" width="0" style="1" hidden="1" customWidth="1"/>
    <col min="5810" max="5810" width="8.88671875" style="1"/>
    <col min="5811" max="5811" width="52.5546875" style="1" customWidth="1"/>
    <col min="5812" max="6047" width="8.88671875" style="1"/>
    <col min="6048" max="6048" width="5.6640625" style="1" bestFit="1" customWidth="1"/>
    <col min="6049" max="6049" width="34.5546875" style="1" customWidth="1"/>
    <col min="6050" max="6050" width="0" style="1" hidden="1" customWidth="1"/>
    <col min="6051" max="6051" width="16.6640625" style="1" customWidth="1"/>
    <col min="6052" max="6052" width="18.88671875" style="1" customWidth="1"/>
    <col min="6053" max="6053" width="8.109375" style="1" customWidth="1"/>
    <col min="6054" max="6054" width="4.88671875" style="1" bestFit="1" customWidth="1"/>
    <col min="6055" max="6055" width="4.88671875" style="1" customWidth="1"/>
    <col min="6056" max="6056" width="6" style="1" customWidth="1"/>
    <col min="6057" max="6057" width="8.109375" style="1" customWidth="1"/>
    <col min="6058" max="6058" width="10.88671875" style="1" customWidth="1"/>
    <col min="6059" max="6059" width="10" style="1" customWidth="1"/>
    <col min="6060" max="6060" width="11.109375" style="1" customWidth="1"/>
    <col min="6061" max="6061" width="13.21875" style="1" customWidth="1"/>
    <col min="6062" max="6062" width="12.44140625" style="1" customWidth="1"/>
    <col min="6063" max="6063" width="8.44140625" style="1" customWidth="1"/>
    <col min="6064" max="6064" width="34.5546875" style="1" customWidth="1"/>
    <col min="6065" max="6065" width="0" style="1" hidden="1" customWidth="1"/>
    <col min="6066" max="6066" width="8.88671875" style="1"/>
    <col min="6067" max="6067" width="52.5546875" style="1" customWidth="1"/>
    <col min="6068" max="6303" width="8.88671875" style="1"/>
    <col min="6304" max="6304" width="5.6640625" style="1" bestFit="1" customWidth="1"/>
    <col min="6305" max="6305" width="34.5546875" style="1" customWidth="1"/>
    <col min="6306" max="6306" width="0" style="1" hidden="1" customWidth="1"/>
    <col min="6307" max="6307" width="16.6640625" style="1" customWidth="1"/>
    <col min="6308" max="6308" width="18.88671875" style="1" customWidth="1"/>
    <col min="6309" max="6309" width="8.109375" style="1" customWidth="1"/>
    <col min="6310" max="6310" width="4.88671875" style="1" bestFit="1" customWidth="1"/>
    <col min="6311" max="6311" width="4.88671875" style="1" customWidth="1"/>
    <col min="6312" max="6312" width="6" style="1" customWidth="1"/>
    <col min="6313" max="6313" width="8.109375" style="1" customWidth="1"/>
    <col min="6314" max="6314" width="10.88671875" style="1" customWidth="1"/>
    <col min="6315" max="6315" width="10" style="1" customWidth="1"/>
    <col min="6316" max="6316" width="11.109375" style="1" customWidth="1"/>
    <col min="6317" max="6317" width="13.21875" style="1" customWidth="1"/>
    <col min="6318" max="6318" width="12.44140625" style="1" customWidth="1"/>
    <col min="6319" max="6319" width="8.44140625" style="1" customWidth="1"/>
    <col min="6320" max="6320" width="34.5546875" style="1" customWidth="1"/>
    <col min="6321" max="6321" width="0" style="1" hidden="1" customWidth="1"/>
    <col min="6322" max="6322" width="8.88671875" style="1"/>
    <col min="6323" max="6323" width="52.5546875" style="1" customWidth="1"/>
    <col min="6324" max="6559" width="8.88671875" style="1"/>
    <col min="6560" max="6560" width="5.6640625" style="1" bestFit="1" customWidth="1"/>
    <col min="6561" max="6561" width="34.5546875" style="1" customWidth="1"/>
    <col min="6562" max="6562" width="0" style="1" hidden="1" customWidth="1"/>
    <col min="6563" max="6563" width="16.6640625" style="1" customWidth="1"/>
    <col min="6564" max="6564" width="18.88671875" style="1" customWidth="1"/>
    <col min="6565" max="6565" width="8.109375" style="1" customWidth="1"/>
    <col min="6566" max="6566" width="4.88671875" style="1" bestFit="1" customWidth="1"/>
    <col min="6567" max="6567" width="4.88671875" style="1" customWidth="1"/>
    <col min="6568" max="6568" width="6" style="1" customWidth="1"/>
    <col min="6569" max="6569" width="8.109375" style="1" customWidth="1"/>
    <col min="6570" max="6570" width="10.88671875" style="1" customWidth="1"/>
    <col min="6571" max="6571" width="10" style="1" customWidth="1"/>
    <col min="6572" max="6572" width="11.109375" style="1" customWidth="1"/>
    <col min="6573" max="6573" width="13.21875" style="1" customWidth="1"/>
    <col min="6574" max="6574" width="12.44140625" style="1" customWidth="1"/>
    <col min="6575" max="6575" width="8.44140625" style="1" customWidth="1"/>
    <col min="6576" max="6576" width="34.5546875" style="1" customWidth="1"/>
    <col min="6577" max="6577" width="0" style="1" hidden="1" customWidth="1"/>
    <col min="6578" max="6578" width="8.88671875" style="1"/>
    <col min="6579" max="6579" width="52.5546875" style="1" customWidth="1"/>
    <col min="6580" max="6815" width="8.88671875" style="1"/>
    <col min="6816" max="6816" width="5.6640625" style="1" bestFit="1" customWidth="1"/>
    <col min="6817" max="6817" width="34.5546875" style="1" customWidth="1"/>
    <col min="6818" max="6818" width="0" style="1" hidden="1" customWidth="1"/>
    <col min="6819" max="6819" width="16.6640625" style="1" customWidth="1"/>
    <col min="6820" max="6820" width="18.88671875" style="1" customWidth="1"/>
    <col min="6821" max="6821" width="8.109375" style="1" customWidth="1"/>
    <col min="6822" max="6822" width="4.88671875" style="1" bestFit="1" customWidth="1"/>
    <col min="6823" max="6823" width="4.88671875" style="1" customWidth="1"/>
    <col min="6824" max="6824" width="6" style="1" customWidth="1"/>
    <col min="6825" max="6825" width="8.109375" style="1" customWidth="1"/>
    <col min="6826" max="6826" width="10.88671875" style="1" customWidth="1"/>
    <col min="6827" max="6827" width="10" style="1" customWidth="1"/>
    <col min="6828" max="6828" width="11.109375" style="1" customWidth="1"/>
    <col min="6829" max="6829" width="13.21875" style="1" customWidth="1"/>
    <col min="6830" max="6830" width="12.44140625" style="1" customWidth="1"/>
    <col min="6831" max="6831" width="8.44140625" style="1" customWidth="1"/>
    <col min="6832" max="6832" width="34.5546875" style="1" customWidth="1"/>
    <col min="6833" max="6833" width="0" style="1" hidden="1" customWidth="1"/>
    <col min="6834" max="6834" width="8.88671875" style="1"/>
    <col min="6835" max="6835" width="52.5546875" style="1" customWidth="1"/>
    <col min="6836" max="7071" width="8.88671875" style="1"/>
    <col min="7072" max="7072" width="5.6640625" style="1" bestFit="1" customWidth="1"/>
    <col min="7073" max="7073" width="34.5546875" style="1" customWidth="1"/>
    <col min="7074" max="7074" width="0" style="1" hidden="1" customWidth="1"/>
    <col min="7075" max="7075" width="16.6640625" style="1" customWidth="1"/>
    <col min="7076" max="7076" width="18.88671875" style="1" customWidth="1"/>
    <col min="7077" max="7077" width="8.109375" style="1" customWidth="1"/>
    <col min="7078" max="7078" width="4.88671875" style="1" bestFit="1" customWidth="1"/>
    <col min="7079" max="7079" width="4.88671875" style="1" customWidth="1"/>
    <col min="7080" max="7080" width="6" style="1" customWidth="1"/>
    <col min="7081" max="7081" width="8.109375" style="1" customWidth="1"/>
    <col min="7082" max="7082" width="10.88671875" style="1" customWidth="1"/>
    <col min="7083" max="7083" width="10" style="1" customWidth="1"/>
    <col min="7084" max="7084" width="11.109375" style="1" customWidth="1"/>
    <col min="7085" max="7085" width="13.21875" style="1" customWidth="1"/>
    <col min="7086" max="7086" width="12.44140625" style="1" customWidth="1"/>
    <col min="7087" max="7087" width="8.44140625" style="1" customWidth="1"/>
    <col min="7088" max="7088" width="34.5546875" style="1" customWidth="1"/>
    <col min="7089" max="7089" width="0" style="1" hidden="1" customWidth="1"/>
    <col min="7090" max="7090" width="8.88671875" style="1"/>
    <col min="7091" max="7091" width="52.5546875" style="1" customWidth="1"/>
    <col min="7092" max="7327" width="8.88671875" style="1"/>
    <col min="7328" max="7328" width="5.6640625" style="1" bestFit="1" customWidth="1"/>
    <col min="7329" max="7329" width="34.5546875" style="1" customWidth="1"/>
    <col min="7330" max="7330" width="0" style="1" hidden="1" customWidth="1"/>
    <col min="7331" max="7331" width="16.6640625" style="1" customWidth="1"/>
    <col min="7332" max="7332" width="18.88671875" style="1" customWidth="1"/>
    <col min="7333" max="7333" width="8.109375" style="1" customWidth="1"/>
    <col min="7334" max="7334" width="4.88671875" style="1" bestFit="1" customWidth="1"/>
    <col min="7335" max="7335" width="4.88671875" style="1" customWidth="1"/>
    <col min="7336" max="7336" width="6" style="1" customWidth="1"/>
    <col min="7337" max="7337" width="8.109375" style="1" customWidth="1"/>
    <col min="7338" max="7338" width="10.88671875" style="1" customWidth="1"/>
    <col min="7339" max="7339" width="10" style="1" customWidth="1"/>
    <col min="7340" max="7340" width="11.109375" style="1" customWidth="1"/>
    <col min="7341" max="7341" width="13.21875" style="1" customWidth="1"/>
    <col min="7342" max="7342" width="12.44140625" style="1" customWidth="1"/>
    <col min="7343" max="7343" width="8.44140625" style="1" customWidth="1"/>
    <col min="7344" max="7344" width="34.5546875" style="1" customWidth="1"/>
    <col min="7345" max="7345" width="0" style="1" hidden="1" customWidth="1"/>
    <col min="7346" max="7346" width="8.88671875" style="1"/>
    <col min="7347" max="7347" width="52.5546875" style="1" customWidth="1"/>
    <col min="7348" max="7583" width="8.88671875" style="1"/>
    <col min="7584" max="7584" width="5.6640625" style="1" bestFit="1" customWidth="1"/>
    <col min="7585" max="7585" width="34.5546875" style="1" customWidth="1"/>
    <col min="7586" max="7586" width="0" style="1" hidden="1" customWidth="1"/>
    <col min="7587" max="7587" width="16.6640625" style="1" customWidth="1"/>
    <col min="7588" max="7588" width="18.88671875" style="1" customWidth="1"/>
    <col min="7589" max="7589" width="8.109375" style="1" customWidth="1"/>
    <col min="7590" max="7590" width="4.88671875" style="1" bestFit="1" customWidth="1"/>
    <col min="7591" max="7591" width="4.88671875" style="1" customWidth="1"/>
    <col min="7592" max="7592" width="6" style="1" customWidth="1"/>
    <col min="7593" max="7593" width="8.109375" style="1" customWidth="1"/>
    <col min="7594" max="7594" width="10.88671875" style="1" customWidth="1"/>
    <col min="7595" max="7595" width="10" style="1" customWidth="1"/>
    <col min="7596" max="7596" width="11.109375" style="1" customWidth="1"/>
    <col min="7597" max="7597" width="13.21875" style="1" customWidth="1"/>
    <col min="7598" max="7598" width="12.44140625" style="1" customWidth="1"/>
    <col min="7599" max="7599" width="8.44140625" style="1" customWidth="1"/>
    <col min="7600" max="7600" width="34.5546875" style="1" customWidth="1"/>
    <col min="7601" max="7601" width="0" style="1" hidden="1" customWidth="1"/>
    <col min="7602" max="7602" width="8.88671875" style="1"/>
    <col min="7603" max="7603" width="52.5546875" style="1" customWidth="1"/>
    <col min="7604" max="7839" width="8.88671875" style="1"/>
    <col min="7840" max="7840" width="5.6640625" style="1" bestFit="1" customWidth="1"/>
    <col min="7841" max="7841" width="34.5546875" style="1" customWidth="1"/>
    <col min="7842" max="7842" width="0" style="1" hidden="1" customWidth="1"/>
    <col min="7843" max="7843" width="16.6640625" style="1" customWidth="1"/>
    <col min="7844" max="7844" width="18.88671875" style="1" customWidth="1"/>
    <col min="7845" max="7845" width="8.109375" style="1" customWidth="1"/>
    <col min="7846" max="7846" width="4.88671875" style="1" bestFit="1" customWidth="1"/>
    <col min="7847" max="7847" width="4.88671875" style="1" customWidth="1"/>
    <col min="7848" max="7848" width="6" style="1" customWidth="1"/>
    <col min="7849" max="7849" width="8.109375" style="1" customWidth="1"/>
    <col min="7850" max="7850" width="10.88671875" style="1" customWidth="1"/>
    <col min="7851" max="7851" width="10" style="1" customWidth="1"/>
    <col min="7852" max="7852" width="11.109375" style="1" customWidth="1"/>
    <col min="7853" max="7853" width="13.21875" style="1" customWidth="1"/>
    <col min="7854" max="7854" width="12.44140625" style="1" customWidth="1"/>
    <col min="7855" max="7855" width="8.44140625" style="1" customWidth="1"/>
    <col min="7856" max="7856" width="34.5546875" style="1" customWidth="1"/>
    <col min="7857" max="7857" width="0" style="1" hidden="1" customWidth="1"/>
    <col min="7858" max="7858" width="8.88671875" style="1"/>
    <col min="7859" max="7859" width="52.5546875" style="1" customWidth="1"/>
    <col min="7860" max="8095" width="8.88671875" style="1"/>
    <col min="8096" max="8096" width="5.6640625" style="1" bestFit="1" customWidth="1"/>
    <col min="8097" max="8097" width="34.5546875" style="1" customWidth="1"/>
    <col min="8098" max="8098" width="0" style="1" hidden="1" customWidth="1"/>
    <col min="8099" max="8099" width="16.6640625" style="1" customWidth="1"/>
    <col min="8100" max="8100" width="18.88671875" style="1" customWidth="1"/>
    <col min="8101" max="8101" width="8.109375" style="1" customWidth="1"/>
    <col min="8102" max="8102" width="4.88671875" style="1" bestFit="1" customWidth="1"/>
    <col min="8103" max="8103" width="4.88671875" style="1" customWidth="1"/>
    <col min="8104" max="8104" width="6" style="1" customWidth="1"/>
    <col min="8105" max="8105" width="8.109375" style="1" customWidth="1"/>
    <col min="8106" max="8106" width="10.88671875" style="1" customWidth="1"/>
    <col min="8107" max="8107" width="10" style="1" customWidth="1"/>
    <col min="8108" max="8108" width="11.109375" style="1" customWidth="1"/>
    <col min="8109" max="8109" width="13.21875" style="1" customWidth="1"/>
    <col min="8110" max="8110" width="12.44140625" style="1" customWidth="1"/>
    <col min="8111" max="8111" width="8.44140625" style="1" customWidth="1"/>
    <col min="8112" max="8112" width="34.5546875" style="1" customWidth="1"/>
    <col min="8113" max="8113" width="0" style="1" hidden="1" customWidth="1"/>
    <col min="8114" max="8114" width="8.88671875" style="1"/>
    <col min="8115" max="8115" width="52.5546875" style="1" customWidth="1"/>
    <col min="8116" max="8351" width="8.88671875" style="1"/>
    <col min="8352" max="8352" width="5.6640625" style="1" bestFit="1" customWidth="1"/>
    <col min="8353" max="8353" width="34.5546875" style="1" customWidth="1"/>
    <col min="8354" max="8354" width="0" style="1" hidden="1" customWidth="1"/>
    <col min="8355" max="8355" width="16.6640625" style="1" customWidth="1"/>
    <col min="8356" max="8356" width="18.88671875" style="1" customWidth="1"/>
    <col min="8357" max="8357" width="8.109375" style="1" customWidth="1"/>
    <col min="8358" max="8358" width="4.88671875" style="1" bestFit="1" customWidth="1"/>
    <col min="8359" max="8359" width="4.88671875" style="1" customWidth="1"/>
    <col min="8360" max="8360" width="6" style="1" customWidth="1"/>
    <col min="8361" max="8361" width="8.109375" style="1" customWidth="1"/>
    <col min="8362" max="8362" width="10.88671875" style="1" customWidth="1"/>
    <col min="8363" max="8363" width="10" style="1" customWidth="1"/>
    <col min="8364" max="8364" width="11.109375" style="1" customWidth="1"/>
    <col min="8365" max="8365" width="13.21875" style="1" customWidth="1"/>
    <col min="8366" max="8366" width="12.44140625" style="1" customWidth="1"/>
    <col min="8367" max="8367" width="8.44140625" style="1" customWidth="1"/>
    <col min="8368" max="8368" width="34.5546875" style="1" customWidth="1"/>
    <col min="8369" max="8369" width="0" style="1" hidden="1" customWidth="1"/>
    <col min="8370" max="8370" width="8.88671875" style="1"/>
    <col min="8371" max="8371" width="52.5546875" style="1" customWidth="1"/>
    <col min="8372" max="8607" width="8.88671875" style="1"/>
    <col min="8608" max="8608" width="5.6640625" style="1" bestFit="1" customWidth="1"/>
    <col min="8609" max="8609" width="34.5546875" style="1" customWidth="1"/>
    <col min="8610" max="8610" width="0" style="1" hidden="1" customWidth="1"/>
    <col min="8611" max="8611" width="16.6640625" style="1" customWidth="1"/>
    <col min="8612" max="8612" width="18.88671875" style="1" customWidth="1"/>
    <col min="8613" max="8613" width="8.109375" style="1" customWidth="1"/>
    <col min="8614" max="8614" width="4.88671875" style="1" bestFit="1" customWidth="1"/>
    <col min="8615" max="8615" width="4.88671875" style="1" customWidth="1"/>
    <col min="8616" max="8616" width="6" style="1" customWidth="1"/>
    <col min="8617" max="8617" width="8.109375" style="1" customWidth="1"/>
    <col min="8618" max="8618" width="10.88671875" style="1" customWidth="1"/>
    <col min="8619" max="8619" width="10" style="1" customWidth="1"/>
    <col min="8620" max="8620" width="11.109375" style="1" customWidth="1"/>
    <col min="8621" max="8621" width="13.21875" style="1" customWidth="1"/>
    <col min="8622" max="8622" width="12.44140625" style="1" customWidth="1"/>
    <col min="8623" max="8623" width="8.44140625" style="1" customWidth="1"/>
    <col min="8624" max="8624" width="34.5546875" style="1" customWidth="1"/>
    <col min="8625" max="8625" width="0" style="1" hidden="1" customWidth="1"/>
    <col min="8626" max="8626" width="8.88671875" style="1"/>
    <col min="8627" max="8627" width="52.5546875" style="1" customWidth="1"/>
    <col min="8628" max="8863" width="8.88671875" style="1"/>
    <col min="8864" max="8864" width="5.6640625" style="1" bestFit="1" customWidth="1"/>
    <col min="8865" max="8865" width="34.5546875" style="1" customWidth="1"/>
    <col min="8866" max="8866" width="0" style="1" hidden="1" customWidth="1"/>
    <col min="8867" max="8867" width="16.6640625" style="1" customWidth="1"/>
    <col min="8868" max="8868" width="18.88671875" style="1" customWidth="1"/>
    <col min="8869" max="8869" width="8.109375" style="1" customWidth="1"/>
    <col min="8870" max="8870" width="4.88671875" style="1" bestFit="1" customWidth="1"/>
    <col min="8871" max="8871" width="4.88671875" style="1" customWidth="1"/>
    <col min="8872" max="8872" width="6" style="1" customWidth="1"/>
    <col min="8873" max="8873" width="8.109375" style="1" customWidth="1"/>
    <col min="8874" max="8874" width="10.88671875" style="1" customWidth="1"/>
    <col min="8875" max="8875" width="10" style="1" customWidth="1"/>
    <col min="8876" max="8876" width="11.109375" style="1" customWidth="1"/>
    <col min="8877" max="8877" width="13.21875" style="1" customWidth="1"/>
    <col min="8878" max="8878" width="12.44140625" style="1" customWidth="1"/>
    <col min="8879" max="8879" width="8.44140625" style="1" customWidth="1"/>
    <col min="8880" max="8880" width="34.5546875" style="1" customWidth="1"/>
    <col min="8881" max="8881" width="0" style="1" hidden="1" customWidth="1"/>
    <col min="8882" max="8882" width="8.88671875" style="1"/>
    <col min="8883" max="8883" width="52.5546875" style="1" customWidth="1"/>
    <col min="8884" max="9119" width="8.88671875" style="1"/>
    <col min="9120" max="9120" width="5.6640625" style="1" bestFit="1" customWidth="1"/>
    <col min="9121" max="9121" width="34.5546875" style="1" customWidth="1"/>
    <col min="9122" max="9122" width="0" style="1" hidden="1" customWidth="1"/>
    <col min="9123" max="9123" width="16.6640625" style="1" customWidth="1"/>
    <col min="9124" max="9124" width="18.88671875" style="1" customWidth="1"/>
    <col min="9125" max="9125" width="8.109375" style="1" customWidth="1"/>
    <col min="9126" max="9126" width="4.88671875" style="1" bestFit="1" customWidth="1"/>
    <col min="9127" max="9127" width="4.88671875" style="1" customWidth="1"/>
    <col min="9128" max="9128" width="6" style="1" customWidth="1"/>
    <col min="9129" max="9129" width="8.109375" style="1" customWidth="1"/>
    <col min="9130" max="9130" width="10.88671875" style="1" customWidth="1"/>
    <col min="9131" max="9131" width="10" style="1" customWidth="1"/>
    <col min="9132" max="9132" width="11.109375" style="1" customWidth="1"/>
    <col min="9133" max="9133" width="13.21875" style="1" customWidth="1"/>
    <col min="9134" max="9134" width="12.44140625" style="1" customWidth="1"/>
    <col min="9135" max="9135" width="8.44140625" style="1" customWidth="1"/>
    <col min="9136" max="9136" width="34.5546875" style="1" customWidth="1"/>
    <col min="9137" max="9137" width="0" style="1" hidden="1" customWidth="1"/>
    <col min="9138" max="9138" width="8.88671875" style="1"/>
    <col min="9139" max="9139" width="52.5546875" style="1" customWidth="1"/>
    <col min="9140" max="9375" width="8.88671875" style="1"/>
    <col min="9376" max="9376" width="5.6640625" style="1" bestFit="1" customWidth="1"/>
    <col min="9377" max="9377" width="34.5546875" style="1" customWidth="1"/>
    <col min="9378" max="9378" width="0" style="1" hidden="1" customWidth="1"/>
    <col min="9379" max="9379" width="16.6640625" style="1" customWidth="1"/>
    <col min="9380" max="9380" width="18.88671875" style="1" customWidth="1"/>
    <col min="9381" max="9381" width="8.109375" style="1" customWidth="1"/>
    <col min="9382" max="9382" width="4.88671875" style="1" bestFit="1" customWidth="1"/>
    <col min="9383" max="9383" width="4.88671875" style="1" customWidth="1"/>
    <col min="9384" max="9384" width="6" style="1" customWidth="1"/>
    <col min="9385" max="9385" width="8.109375" style="1" customWidth="1"/>
    <col min="9386" max="9386" width="10.88671875" style="1" customWidth="1"/>
    <col min="9387" max="9387" width="10" style="1" customWidth="1"/>
    <col min="9388" max="9388" width="11.109375" style="1" customWidth="1"/>
    <col min="9389" max="9389" width="13.21875" style="1" customWidth="1"/>
    <col min="9390" max="9390" width="12.44140625" style="1" customWidth="1"/>
    <col min="9391" max="9391" width="8.44140625" style="1" customWidth="1"/>
    <col min="9392" max="9392" width="34.5546875" style="1" customWidth="1"/>
    <col min="9393" max="9393" width="0" style="1" hidden="1" customWidth="1"/>
    <col min="9394" max="9394" width="8.88671875" style="1"/>
    <col min="9395" max="9395" width="52.5546875" style="1" customWidth="1"/>
    <col min="9396" max="9631" width="8.88671875" style="1"/>
    <col min="9632" max="9632" width="5.6640625" style="1" bestFit="1" customWidth="1"/>
    <col min="9633" max="9633" width="34.5546875" style="1" customWidth="1"/>
    <col min="9634" max="9634" width="0" style="1" hidden="1" customWidth="1"/>
    <col min="9635" max="9635" width="16.6640625" style="1" customWidth="1"/>
    <col min="9636" max="9636" width="18.88671875" style="1" customWidth="1"/>
    <col min="9637" max="9637" width="8.109375" style="1" customWidth="1"/>
    <col min="9638" max="9638" width="4.88671875" style="1" bestFit="1" customWidth="1"/>
    <col min="9639" max="9639" width="4.88671875" style="1" customWidth="1"/>
    <col min="9640" max="9640" width="6" style="1" customWidth="1"/>
    <col min="9641" max="9641" width="8.109375" style="1" customWidth="1"/>
    <col min="9642" max="9642" width="10.88671875" style="1" customWidth="1"/>
    <col min="9643" max="9643" width="10" style="1" customWidth="1"/>
    <col min="9644" max="9644" width="11.109375" style="1" customWidth="1"/>
    <col min="9645" max="9645" width="13.21875" style="1" customWidth="1"/>
    <col min="9646" max="9646" width="12.44140625" style="1" customWidth="1"/>
    <col min="9647" max="9647" width="8.44140625" style="1" customWidth="1"/>
    <col min="9648" max="9648" width="34.5546875" style="1" customWidth="1"/>
    <col min="9649" max="9649" width="0" style="1" hidden="1" customWidth="1"/>
    <col min="9650" max="9650" width="8.88671875" style="1"/>
    <col min="9651" max="9651" width="52.5546875" style="1" customWidth="1"/>
    <col min="9652" max="9887" width="8.88671875" style="1"/>
    <col min="9888" max="9888" width="5.6640625" style="1" bestFit="1" customWidth="1"/>
    <col min="9889" max="9889" width="34.5546875" style="1" customWidth="1"/>
    <col min="9890" max="9890" width="0" style="1" hidden="1" customWidth="1"/>
    <col min="9891" max="9891" width="16.6640625" style="1" customWidth="1"/>
    <col min="9892" max="9892" width="18.88671875" style="1" customWidth="1"/>
    <col min="9893" max="9893" width="8.109375" style="1" customWidth="1"/>
    <col min="9894" max="9894" width="4.88671875" style="1" bestFit="1" customWidth="1"/>
    <col min="9895" max="9895" width="4.88671875" style="1" customWidth="1"/>
    <col min="9896" max="9896" width="6" style="1" customWidth="1"/>
    <col min="9897" max="9897" width="8.109375" style="1" customWidth="1"/>
    <col min="9898" max="9898" width="10.88671875" style="1" customWidth="1"/>
    <col min="9899" max="9899" width="10" style="1" customWidth="1"/>
    <col min="9900" max="9900" width="11.109375" style="1" customWidth="1"/>
    <col min="9901" max="9901" width="13.21875" style="1" customWidth="1"/>
    <col min="9902" max="9902" width="12.44140625" style="1" customWidth="1"/>
    <col min="9903" max="9903" width="8.44140625" style="1" customWidth="1"/>
    <col min="9904" max="9904" width="34.5546875" style="1" customWidth="1"/>
    <col min="9905" max="9905" width="0" style="1" hidden="1" customWidth="1"/>
    <col min="9906" max="9906" width="8.88671875" style="1"/>
    <col min="9907" max="9907" width="52.5546875" style="1" customWidth="1"/>
    <col min="9908" max="10143" width="8.88671875" style="1"/>
    <col min="10144" max="10144" width="5.6640625" style="1" bestFit="1" customWidth="1"/>
    <col min="10145" max="10145" width="34.5546875" style="1" customWidth="1"/>
    <col min="10146" max="10146" width="0" style="1" hidden="1" customWidth="1"/>
    <col min="10147" max="10147" width="16.6640625" style="1" customWidth="1"/>
    <col min="10148" max="10148" width="18.88671875" style="1" customWidth="1"/>
    <col min="10149" max="10149" width="8.109375" style="1" customWidth="1"/>
    <col min="10150" max="10150" width="4.88671875" style="1" bestFit="1" customWidth="1"/>
    <col min="10151" max="10151" width="4.88671875" style="1" customWidth="1"/>
    <col min="10152" max="10152" width="6" style="1" customWidth="1"/>
    <col min="10153" max="10153" width="8.109375" style="1" customWidth="1"/>
    <col min="10154" max="10154" width="10.88671875" style="1" customWidth="1"/>
    <col min="10155" max="10155" width="10" style="1" customWidth="1"/>
    <col min="10156" max="10156" width="11.109375" style="1" customWidth="1"/>
    <col min="10157" max="10157" width="13.21875" style="1" customWidth="1"/>
    <col min="10158" max="10158" width="12.44140625" style="1" customWidth="1"/>
    <col min="10159" max="10159" width="8.44140625" style="1" customWidth="1"/>
    <col min="10160" max="10160" width="34.5546875" style="1" customWidth="1"/>
    <col min="10161" max="10161" width="0" style="1" hidden="1" customWidth="1"/>
    <col min="10162" max="10162" width="8.88671875" style="1"/>
    <col min="10163" max="10163" width="52.5546875" style="1" customWidth="1"/>
    <col min="10164" max="10399" width="8.88671875" style="1"/>
    <col min="10400" max="10400" width="5.6640625" style="1" bestFit="1" customWidth="1"/>
    <col min="10401" max="10401" width="34.5546875" style="1" customWidth="1"/>
    <col min="10402" max="10402" width="0" style="1" hidden="1" customWidth="1"/>
    <col min="10403" max="10403" width="16.6640625" style="1" customWidth="1"/>
    <col min="10404" max="10404" width="18.88671875" style="1" customWidth="1"/>
    <col min="10405" max="10405" width="8.109375" style="1" customWidth="1"/>
    <col min="10406" max="10406" width="4.88671875" style="1" bestFit="1" customWidth="1"/>
    <col min="10407" max="10407" width="4.88671875" style="1" customWidth="1"/>
    <col min="10408" max="10408" width="6" style="1" customWidth="1"/>
    <col min="10409" max="10409" width="8.109375" style="1" customWidth="1"/>
    <col min="10410" max="10410" width="10.88671875" style="1" customWidth="1"/>
    <col min="10411" max="10411" width="10" style="1" customWidth="1"/>
    <col min="10412" max="10412" width="11.109375" style="1" customWidth="1"/>
    <col min="10413" max="10413" width="13.21875" style="1" customWidth="1"/>
    <col min="10414" max="10414" width="12.44140625" style="1" customWidth="1"/>
    <col min="10415" max="10415" width="8.44140625" style="1" customWidth="1"/>
    <col min="10416" max="10416" width="34.5546875" style="1" customWidth="1"/>
    <col min="10417" max="10417" width="0" style="1" hidden="1" customWidth="1"/>
    <col min="10418" max="10418" width="8.88671875" style="1"/>
    <col min="10419" max="10419" width="52.5546875" style="1" customWidth="1"/>
    <col min="10420" max="10655" width="8.88671875" style="1"/>
    <col min="10656" max="10656" width="5.6640625" style="1" bestFit="1" customWidth="1"/>
    <col min="10657" max="10657" width="34.5546875" style="1" customWidth="1"/>
    <col min="10658" max="10658" width="0" style="1" hidden="1" customWidth="1"/>
    <col min="10659" max="10659" width="16.6640625" style="1" customWidth="1"/>
    <col min="10660" max="10660" width="18.88671875" style="1" customWidth="1"/>
    <col min="10661" max="10661" width="8.109375" style="1" customWidth="1"/>
    <col min="10662" max="10662" width="4.88671875" style="1" bestFit="1" customWidth="1"/>
    <col min="10663" max="10663" width="4.88671875" style="1" customWidth="1"/>
    <col min="10664" max="10664" width="6" style="1" customWidth="1"/>
    <col min="10665" max="10665" width="8.109375" style="1" customWidth="1"/>
    <col min="10666" max="10666" width="10.88671875" style="1" customWidth="1"/>
    <col min="10667" max="10667" width="10" style="1" customWidth="1"/>
    <col min="10668" max="10668" width="11.109375" style="1" customWidth="1"/>
    <col min="10669" max="10669" width="13.21875" style="1" customWidth="1"/>
    <col min="10670" max="10670" width="12.44140625" style="1" customWidth="1"/>
    <col min="10671" max="10671" width="8.44140625" style="1" customWidth="1"/>
    <col min="10672" max="10672" width="34.5546875" style="1" customWidth="1"/>
    <col min="10673" max="10673" width="0" style="1" hidden="1" customWidth="1"/>
    <col min="10674" max="10674" width="8.88671875" style="1"/>
    <col min="10675" max="10675" width="52.5546875" style="1" customWidth="1"/>
    <col min="10676" max="10911" width="8.88671875" style="1"/>
    <col min="10912" max="10912" width="5.6640625" style="1" bestFit="1" customWidth="1"/>
    <col min="10913" max="10913" width="34.5546875" style="1" customWidth="1"/>
    <col min="10914" max="10914" width="0" style="1" hidden="1" customWidth="1"/>
    <col min="10915" max="10915" width="16.6640625" style="1" customWidth="1"/>
    <col min="10916" max="10916" width="18.88671875" style="1" customWidth="1"/>
    <col min="10917" max="10917" width="8.109375" style="1" customWidth="1"/>
    <col min="10918" max="10918" width="4.88671875" style="1" bestFit="1" customWidth="1"/>
    <col min="10919" max="10919" width="4.88671875" style="1" customWidth="1"/>
    <col min="10920" max="10920" width="6" style="1" customWidth="1"/>
    <col min="10921" max="10921" width="8.109375" style="1" customWidth="1"/>
    <col min="10922" max="10922" width="10.88671875" style="1" customWidth="1"/>
    <col min="10923" max="10923" width="10" style="1" customWidth="1"/>
    <col min="10924" max="10924" width="11.109375" style="1" customWidth="1"/>
    <col min="10925" max="10925" width="13.21875" style="1" customWidth="1"/>
    <col min="10926" max="10926" width="12.44140625" style="1" customWidth="1"/>
    <col min="10927" max="10927" width="8.44140625" style="1" customWidth="1"/>
    <col min="10928" max="10928" width="34.5546875" style="1" customWidth="1"/>
    <col min="10929" max="10929" width="0" style="1" hidden="1" customWidth="1"/>
    <col min="10930" max="10930" width="8.88671875" style="1"/>
    <col min="10931" max="10931" width="52.5546875" style="1" customWidth="1"/>
    <col min="10932" max="11167" width="8.88671875" style="1"/>
    <col min="11168" max="11168" width="5.6640625" style="1" bestFit="1" customWidth="1"/>
    <col min="11169" max="11169" width="34.5546875" style="1" customWidth="1"/>
    <col min="11170" max="11170" width="0" style="1" hidden="1" customWidth="1"/>
    <col min="11171" max="11171" width="16.6640625" style="1" customWidth="1"/>
    <col min="11172" max="11172" width="18.88671875" style="1" customWidth="1"/>
    <col min="11173" max="11173" width="8.109375" style="1" customWidth="1"/>
    <col min="11174" max="11174" width="4.88671875" style="1" bestFit="1" customWidth="1"/>
    <col min="11175" max="11175" width="4.88671875" style="1" customWidth="1"/>
    <col min="11176" max="11176" width="6" style="1" customWidth="1"/>
    <col min="11177" max="11177" width="8.109375" style="1" customWidth="1"/>
    <col min="11178" max="11178" width="10.88671875" style="1" customWidth="1"/>
    <col min="11179" max="11179" width="10" style="1" customWidth="1"/>
    <col min="11180" max="11180" width="11.109375" style="1" customWidth="1"/>
    <col min="11181" max="11181" width="13.21875" style="1" customWidth="1"/>
    <col min="11182" max="11182" width="12.44140625" style="1" customWidth="1"/>
    <col min="11183" max="11183" width="8.44140625" style="1" customWidth="1"/>
    <col min="11184" max="11184" width="34.5546875" style="1" customWidth="1"/>
    <col min="11185" max="11185" width="0" style="1" hidden="1" customWidth="1"/>
    <col min="11186" max="11186" width="8.88671875" style="1"/>
    <col min="11187" max="11187" width="52.5546875" style="1" customWidth="1"/>
    <col min="11188" max="11423" width="8.88671875" style="1"/>
    <col min="11424" max="11424" width="5.6640625" style="1" bestFit="1" customWidth="1"/>
    <col min="11425" max="11425" width="34.5546875" style="1" customWidth="1"/>
    <col min="11426" max="11426" width="0" style="1" hidden="1" customWidth="1"/>
    <col min="11427" max="11427" width="16.6640625" style="1" customWidth="1"/>
    <col min="11428" max="11428" width="18.88671875" style="1" customWidth="1"/>
    <col min="11429" max="11429" width="8.109375" style="1" customWidth="1"/>
    <col min="11430" max="11430" width="4.88671875" style="1" bestFit="1" customWidth="1"/>
    <col min="11431" max="11431" width="4.88671875" style="1" customWidth="1"/>
    <col min="11432" max="11432" width="6" style="1" customWidth="1"/>
    <col min="11433" max="11433" width="8.109375" style="1" customWidth="1"/>
    <col min="11434" max="11434" width="10.88671875" style="1" customWidth="1"/>
    <col min="11435" max="11435" width="10" style="1" customWidth="1"/>
    <col min="11436" max="11436" width="11.109375" style="1" customWidth="1"/>
    <col min="11437" max="11437" width="13.21875" style="1" customWidth="1"/>
    <col min="11438" max="11438" width="12.44140625" style="1" customWidth="1"/>
    <col min="11439" max="11439" width="8.44140625" style="1" customWidth="1"/>
    <col min="11440" max="11440" width="34.5546875" style="1" customWidth="1"/>
    <col min="11441" max="11441" width="0" style="1" hidden="1" customWidth="1"/>
    <col min="11442" max="11442" width="8.88671875" style="1"/>
    <col min="11443" max="11443" width="52.5546875" style="1" customWidth="1"/>
    <col min="11444" max="11679" width="8.88671875" style="1"/>
    <col min="11680" max="11680" width="5.6640625" style="1" bestFit="1" customWidth="1"/>
    <col min="11681" max="11681" width="34.5546875" style="1" customWidth="1"/>
    <col min="11682" max="11682" width="0" style="1" hidden="1" customWidth="1"/>
    <col min="11683" max="11683" width="16.6640625" style="1" customWidth="1"/>
    <col min="11684" max="11684" width="18.88671875" style="1" customWidth="1"/>
    <col min="11685" max="11685" width="8.109375" style="1" customWidth="1"/>
    <col min="11686" max="11686" width="4.88671875" style="1" bestFit="1" customWidth="1"/>
    <col min="11687" max="11687" width="4.88671875" style="1" customWidth="1"/>
    <col min="11688" max="11688" width="6" style="1" customWidth="1"/>
    <col min="11689" max="11689" width="8.109375" style="1" customWidth="1"/>
    <col min="11690" max="11690" width="10.88671875" style="1" customWidth="1"/>
    <col min="11691" max="11691" width="10" style="1" customWidth="1"/>
    <col min="11692" max="11692" width="11.109375" style="1" customWidth="1"/>
    <col min="11693" max="11693" width="13.21875" style="1" customWidth="1"/>
    <col min="11694" max="11694" width="12.44140625" style="1" customWidth="1"/>
    <col min="11695" max="11695" width="8.44140625" style="1" customWidth="1"/>
    <col min="11696" max="11696" width="34.5546875" style="1" customWidth="1"/>
    <col min="11697" max="11697" width="0" style="1" hidden="1" customWidth="1"/>
    <col min="11698" max="11698" width="8.88671875" style="1"/>
    <col min="11699" max="11699" width="52.5546875" style="1" customWidth="1"/>
    <col min="11700" max="11935" width="8.88671875" style="1"/>
    <col min="11936" max="11936" width="5.6640625" style="1" bestFit="1" customWidth="1"/>
    <col min="11937" max="11937" width="34.5546875" style="1" customWidth="1"/>
    <col min="11938" max="11938" width="0" style="1" hidden="1" customWidth="1"/>
    <col min="11939" max="11939" width="16.6640625" style="1" customWidth="1"/>
    <col min="11940" max="11940" width="18.88671875" style="1" customWidth="1"/>
    <col min="11941" max="11941" width="8.109375" style="1" customWidth="1"/>
    <col min="11942" max="11942" width="4.88671875" style="1" bestFit="1" customWidth="1"/>
    <col min="11943" max="11943" width="4.88671875" style="1" customWidth="1"/>
    <col min="11944" max="11944" width="6" style="1" customWidth="1"/>
    <col min="11945" max="11945" width="8.109375" style="1" customWidth="1"/>
    <col min="11946" max="11946" width="10.88671875" style="1" customWidth="1"/>
    <col min="11947" max="11947" width="10" style="1" customWidth="1"/>
    <col min="11948" max="11948" width="11.109375" style="1" customWidth="1"/>
    <col min="11949" max="11949" width="13.21875" style="1" customWidth="1"/>
    <col min="11950" max="11950" width="12.44140625" style="1" customWidth="1"/>
    <col min="11951" max="11951" width="8.44140625" style="1" customWidth="1"/>
    <col min="11952" max="11952" width="34.5546875" style="1" customWidth="1"/>
    <col min="11953" max="11953" width="0" style="1" hidden="1" customWidth="1"/>
    <col min="11954" max="11954" width="8.88671875" style="1"/>
    <col min="11955" max="11955" width="52.5546875" style="1" customWidth="1"/>
    <col min="11956" max="12191" width="8.88671875" style="1"/>
    <col min="12192" max="12192" width="5.6640625" style="1" bestFit="1" customWidth="1"/>
    <col min="12193" max="12193" width="34.5546875" style="1" customWidth="1"/>
    <col min="12194" max="12194" width="0" style="1" hidden="1" customWidth="1"/>
    <col min="12195" max="12195" width="16.6640625" style="1" customWidth="1"/>
    <col min="12196" max="12196" width="18.88671875" style="1" customWidth="1"/>
    <col min="12197" max="12197" width="8.109375" style="1" customWidth="1"/>
    <col min="12198" max="12198" width="4.88671875" style="1" bestFit="1" customWidth="1"/>
    <col min="12199" max="12199" width="4.88671875" style="1" customWidth="1"/>
    <col min="12200" max="12200" width="6" style="1" customWidth="1"/>
    <col min="12201" max="12201" width="8.109375" style="1" customWidth="1"/>
    <col min="12202" max="12202" width="10.88671875" style="1" customWidth="1"/>
    <col min="12203" max="12203" width="10" style="1" customWidth="1"/>
    <col min="12204" max="12204" width="11.109375" style="1" customWidth="1"/>
    <col min="12205" max="12205" width="13.21875" style="1" customWidth="1"/>
    <col min="12206" max="12206" width="12.44140625" style="1" customWidth="1"/>
    <col min="12207" max="12207" width="8.44140625" style="1" customWidth="1"/>
    <col min="12208" max="12208" width="34.5546875" style="1" customWidth="1"/>
    <col min="12209" max="12209" width="0" style="1" hidden="1" customWidth="1"/>
    <col min="12210" max="12210" width="8.88671875" style="1"/>
    <col min="12211" max="12211" width="52.5546875" style="1" customWidth="1"/>
    <col min="12212" max="12447" width="8.88671875" style="1"/>
    <col min="12448" max="12448" width="5.6640625" style="1" bestFit="1" customWidth="1"/>
    <col min="12449" max="12449" width="34.5546875" style="1" customWidth="1"/>
    <col min="12450" max="12450" width="0" style="1" hidden="1" customWidth="1"/>
    <col min="12451" max="12451" width="16.6640625" style="1" customWidth="1"/>
    <col min="12452" max="12452" width="18.88671875" style="1" customWidth="1"/>
    <col min="12453" max="12453" width="8.109375" style="1" customWidth="1"/>
    <col min="12454" max="12454" width="4.88671875" style="1" bestFit="1" customWidth="1"/>
    <col min="12455" max="12455" width="4.88671875" style="1" customWidth="1"/>
    <col min="12456" max="12456" width="6" style="1" customWidth="1"/>
    <col min="12457" max="12457" width="8.109375" style="1" customWidth="1"/>
    <col min="12458" max="12458" width="10.88671875" style="1" customWidth="1"/>
    <col min="12459" max="12459" width="10" style="1" customWidth="1"/>
    <col min="12460" max="12460" width="11.109375" style="1" customWidth="1"/>
    <col min="12461" max="12461" width="13.21875" style="1" customWidth="1"/>
    <col min="12462" max="12462" width="12.44140625" style="1" customWidth="1"/>
    <col min="12463" max="12463" width="8.44140625" style="1" customWidth="1"/>
    <col min="12464" max="12464" width="34.5546875" style="1" customWidth="1"/>
    <col min="12465" max="12465" width="0" style="1" hidden="1" customWidth="1"/>
    <col min="12466" max="12466" width="8.88671875" style="1"/>
    <col min="12467" max="12467" width="52.5546875" style="1" customWidth="1"/>
    <col min="12468" max="12703" width="8.88671875" style="1"/>
    <col min="12704" max="12704" width="5.6640625" style="1" bestFit="1" customWidth="1"/>
    <col min="12705" max="12705" width="34.5546875" style="1" customWidth="1"/>
    <col min="12706" max="12706" width="0" style="1" hidden="1" customWidth="1"/>
    <col min="12707" max="12707" width="16.6640625" style="1" customWidth="1"/>
    <col min="12708" max="12708" width="18.88671875" style="1" customWidth="1"/>
    <col min="12709" max="12709" width="8.109375" style="1" customWidth="1"/>
    <col min="12710" max="12710" width="4.88671875" style="1" bestFit="1" customWidth="1"/>
    <col min="12711" max="12711" width="4.88671875" style="1" customWidth="1"/>
    <col min="12712" max="12712" width="6" style="1" customWidth="1"/>
    <col min="12713" max="12713" width="8.109375" style="1" customWidth="1"/>
    <col min="12714" max="12714" width="10.88671875" style="1" customWidth="1"/>
    <col min="12715" max="12715" width="10" style="1" customWidth="1"/>
    <col min="12716" max="12716" width="11.109375" style="1" customWidth="1"/>
    <col min="12717" max="12717" width="13.21875" style="1" customWidth="1"/>
    <col min="12718" max="12718" width="12.44140625" style="1" customWidth="1"/>
    <col min="12719" max="12719" width="8.44140625" style="1" customWidth="1"/>
    <col min="12720" max="12720" width="34.5546875" style="1" customWidth="1"/>
    <col min="12721" max="12721" width="0" style="1" hidden="1" customWidth="1"/>
    <col min="12722" max="12722" width="8.88671875" style="1"/>
    <col min="12723" max="12723" width="52.5546875" style="1" customWidth="1"/>
    <col min="12724" max="12959" width="8.88671875" style="1"/>
    <col min="12960" max="12960" width="5.6640625" style="1" bestFit="1" customWidth="1"/>
    <col min="12961" max="12961" width="34.5546875" style="1" customWidth="1"/>
    <col min="12962" max="12962" width="0" style="1" hidden="1" customWidth="1"/>
    <col min="12963" max="12963" width="16.6640625" style="1" customWidth="1"/>
    <col min="12964" max="12964" width="18.88671875" style="1" customWidth="1"/>
    <col min="12965" max="12965" width="8.109375" style="1" customWidth="1"/>
    <col min="12966" max="12966" width="4.88671875" style="1" bestFit="1" customWidth="1"/>
    <col min="12967" max="12967" width="4.88671875" style="1" customWidth="1"/>
    <col min="12968" max="12968" width="6" style="1" customWidth="1"/>
    <col min="12969" max="12969" width="8.109375" style="1" customWidth="1"/>
    <col min="12970" max="12970" width="10.88671875" style="1" customWidth="1"/>
    <col min="12971" max="12971" width="10" style="1" customWidth="1"/>
    <col min="12972" max="12972" width="11.109375" style="1" customWidth="1"/>
    <col min="12973" max="12973" width="13.21875" style="1" customWidth="1"/>
    <col min="12974" max="12974" width="12.44140625" style="1" customWidth="1"/>
    <col min="12975" max="12975" width="8.44140625" style="1" customWidth="1"/>
    <col min="12976" max="12976" width="34.5546875" style="1" customWidth="1"/>
    <col min="12977" max="12977" width="0" style="1" hidden="1" customWidth="1"/>
    <col min="12978" max="12978" width="8.88671875" style="1"/>
    <col min="12979" max="12979" width="52.5546875" style="1" customWidth="1"/>
    <col min="12980" max="13215" width="8.88671875" style="1"/>
    <col min="13216" max="13216" width="5.6640625" style="1" bestFit="1" customWidth="1"/>
    <col min="13217" max="13217" width="34.5546875" style="1" customWidth="1"/>
    <col min="13218" max="13218" width="0" style="1" hidden="1" customWidth="1"/>
    <col min="13219" max="13219" width="16.6640625" style="1" customWidth="1"/>
    <col min="13220" max="13220" width="18.88671875" style="1" customWidth="1"/>
    <col min="13221" max="13221" width="8.109375" style="1" customWidth="1"/>
    <col min="13222" max="13222" width="4.88671875" style="1" bestFit="1" customWidth="1"/>
    <col min="13223" max="13223" width="4.88671875" style="1" customWidth="1"/>
    <col min="13224" max="13224" width="6" style="1" customWidth="1"/>
    <col min="13225" max="13225" width="8.109375" style="1" customWidth="1"/>
    <col min="13226" max="13226" width="10.88671875" style="1" customWidth="1"/>
    <col min="13227" max="13227" width="10" style="1" customWidth="1"/>
    <col min="13228" max="13228" width="11.109375" style="1" customWidth="1"/>
    <col min="13229" max="13229" width="13.21875" style="1" customWidth="1"/>
    <col min="13230" max="13230" width="12.44140625" style="1" customWidth="1"/>
    <col min="13231" max="13231" width="8.44140625" style="1" customWidth="1"/>
    <col min="13232" max="13232" width="34.5546875" style="1" customWidth="1"/>
    <col min="13233" max="13233" width="0" style="1" hidden="1" customWidth="1"/>
    <col min="13234" max="13234" width="8.88671875" style="1"/>
    <col min="13235" max="13235" width="52.5546875" style="1" customWidth="1"/>
    <col min="13236" max="13471" width="8.88671875" style="1"/>
    <col min="13472" max="13472" width="5.6640625" style="1" bestFit="1" customWidth="1"/>
    <col min="13473" max="13473" width="34.5546875" style="1" customWidth="1"/>
    <col min="13474" max="13474" width="0" style="1" hidden="1" customWidth="1"/>
    <col min="13475" max="13475" width="16.6640625" style="1" customWidth="1"/>
    <col min="13476" max="13476" width="18.88671875" style="1" customWidth="1"/>
    <col min="13477" max="13477" width="8.109375" style="1" customWidth="1"/>
    <col min="13478" max="13478" width="4.88671875" style="1" bestFit="1" customWidth="1"/>
    <col min="13479" max="13479" width="4.88671875" style="1" customWidth="1"/>
    <col min="13480" max="13480" width="6" style="1" customWidth="1"/>
    <col min="13481" max="13481" width="8.109375" style="1" customWidth="1"/>
    <col min="13482" max="13482" width="10.88671875" style="1" customWidth="1"/>
    <col min="13483" max="13483" width="10" style="1" customWidth="1"/>
    <col min="13484" max="13484" width="11.109375" style="1" customWidth="1"/>
    <col min="13485" max="13485" width="13.21875" style="1" customWidth="1"/>
    <col min="13486" max="13486" width="12.44140625" style="1" customWidth="1"/>
    <col min="13487" max="13487" width="8.44140625" style="1" customWidth="1"/>
    <col min="13488" max="13488" width="34.5546875" style="1" customWidth="1"/>
    <col min="13489" max="13489" width="0" style="1" hidden="1" customWidth="1"/>
    <col min="13490" max="13490" width="8.88671875" style="1"/>
    <col min="13491" max="13491" width="52.5546875" style="1" customWidth="1"/>
    <col min="13492" max="13727" width="8.88671875" style="1"/>
    <col min="13728" max="13728" width="5.6640625" style="1" bestFit="1" customWidth="1"/>
    <col min="13729" max="13729" width="34.5546875" style="1" customWidth="1"/>
    <col min="13730" max="13730" width="0" style="1" hidden="1" customWidth="1"/>
    <col min="13731" max="13731" width="16.6640625" style="1" customWidth="1"/>
    <col min="13732" max="13732" width="18.88671875" style="1" customWidth="1"/>
    <col min="13733" max="13733" width="8.109375" style="1" customWidth="1"/>
    <col min="13734" max="13734" width="4.88671875" style="1" bestFit="1" customWidth="1"/>
    <col min="13735" max="13735" width="4.88671875" style="1" customWidth="1"/>
    <col min="13736" max="13736" width="6" style="1" customWidth="1"/>
    <col min="13737" max="13737" width="8.109375" style="1" customWidth="1"/>
    <col min="13738" max="13738" width="10.88671875" style="1" customWidth="1"/>
    <col min="13739" max="13739" width="10" style="1" customWidth="1"/>
    <col min="13740" max="13740" width="11.109375" style="1" customWidth="1"/>
    <col min="13741" max="13741" width="13.21875" style="1" customWidth="1"/>
    <col min="13742" max="13742" width="12.44140625" style="1" customWidth="1"/>
    <col min="13743" max="13743" width="8.44140625" style="1" customWidth="1"/>
    <col min="13744" max="13744" width="34.5546875" style="1" customWidth="1"/>
    <col min="13745" max="13745" width="0" style="1" hidden="1" customWidth="1"/>
    <col min="13746" max="13746" width="8.88671875" style="1"/>
    <col min="13747" max="13747" width="52.5546875" style="1" customWidth="1"/>
    <col min="13748" max="13983" width="8.88671875" style="1"/>
    <col min="13984" max="13984" width="5.6640625" style="1" bestFit="1" customWidth="1"/>
    <col min="13985" max="13985" width="34.5546875" style="1" customWidth="1"/>
    <col min="13986" max="13986" width="0" style="1" hidden="1" customWidth="1"/>
    <col min="13987" max="13987" width="16.6640625" style="1" customWidth="1"/>
    <col min="13988" max="13988" width="18.88671875" style="1" customWidth="1"/>
    <col min="13989" max="13989" width="8.109375" style="1" customWidth="1"/>
    <col min="13990" max="13990" width="4.88671875" style="1" bestFit="1" customWidth="1"/>
    <col min="13991" max="13991" width="4.88671875" style="1" customWidth="1"/>
    <col min="13992" max="13992" width="6" style="1" customWidth="1"/>
    <col min="13993" max="13993" width="8.109375" style="1" customWidth="1"/>
    <col min="13994" max="13994" width="10.88671875" style="1" customWidth="1"/>
    <col min="13995" max="13995" width="10" style="1" customWidth="1"/>
    <col min="13996" max="13996" width="11.109375" style="1" customWidth="1"/>
    <col min="13997" max="13997" width="13.21875" style="1" customWidth="1"/>
    <col min="13998" max="13998" width="12.44140625" style="1" customWidth="1"/>
    <col min="13999" max="13999" width="8.44140625" style="1" customWidth="1"/>
    <col min="14000" max="14000" width="34.5546875" style="1" customWidth="1"/>
    <col min="14001" max="14001" width="0" style="1" hidden="1" customWidth="1"/>
    <col min="14002" max="14002" width="8.88671875" style="1"/>
    <col min="14003" max="14003" width="52.5546875" style="1" customWidth="1"/>
    <col min="14004" max="14239" width="8.88671875" style="1"/>
    <col min="14240" max="14240" width="5.6640625" style="1" bestFit="1" customWidth="1"/>
    <col min="14241" max="14241" width="34.5546875" style="1" customWidth="1"/>
    <col min="14242" max="14242" width="0" style="1" hidden="1" customWidth="1"/>
    <col min="14243" max="14243" width="16.6640625" style="1" customWidth="1"/>
    <col min="14244" max="14244" width="18.88671875" style="1" customWidth="1"/>
    <col min="14245" max="14245" width="8.109375" style="1" customWidth="1"/>
    <col min="14246" max="14246" width="4.88671875" style="1" bestFit="1" customWidth="1"/>
    <col min="14247" max="14247" width="4.88671875" style="1" customWidth="1"/>
    <col min="14248" max="14248" width="6" style="1" customWidth="1"/>
    <col min="14249" max="14249" width="8.109375" style="1" customWidth="1"/>
    <col min="14250" max="14250" width="10.88671875" style="1" customWidth="1"/>
    <col min="14251" max="14251" width="10" style="1" customWidth="1"/>
    <col min="14252" max="14252" width="11.109375" style="1" customWidth="1"/>
    <col min="14253" max="14253" width="13.21875" style="1" customWidth="1"/>
    <col min="14254" max="14254" width="12.44140625" style="1" customWidth="1"/>
    <col min="14255" max="14255" width="8.44140625" style="1" customWidth="1"/>
    <col min="14256" max="14256" width="34.5546875" style="1" customWidth="1"/>
    <col min="14257" max="14257" width="0" style="1" hidden="1" customWidth="1"/>
    <col min="14258" max="14258" width="8.88671875" style="1"/>
    <col min="14259" max="14259" width="52.5546875" style="1" customWidth="1"/>
    <col min="14260" max="14495" width="8.88671875" style="1"/>
    <col min="14496" max="14496" width="5.6640625" style="1" bestFit="1" customWidth="1"/>
    <col min="14497" max="14497" width="34.5546875" style="1" customWidth="1"/>
    <col min="14498" max="14498" width="0" style="1" hidden="1" customWidth="1"/>
    <col min="14499" max="14499" width="16.6640625" style="1" customWidth="1"/>
    <col min="14500" max="14500" width="18.88671875" style="1" customWidth="1"/>
    <col min="14501" max="14501" width="8.109375" style="1" customWidth="1"/>
    <col min="14502" max="14502" width="4.88671875" style="1" bestFit="1" customWidth="1"/>
    <col min="14503" max="14503" width="4.88671875" style="1" customWidth="1"/>
    <col min="14504" max="14504" width="6" style="1" customWidth="1"/>
    <col min="14505" max="14505" width="8.109375" style="1" customWidth="1"/>
    <col min="14506" max="14506" width="10.88671875" style="1" customWidth="1"/>
    <col min="14507" max="14507" width="10" style="1" customWidth="1"/>
    <col min="14508" max="14508" width="11.109375" style="1" customWidth="1"/>
    <col min="14509" max="14509" width="13.21875" style="1" customWidth="1"/>
    <col min="14510" max="14510" width="12.44140625" style="1" customWidth="1"/>
    <col min="14511" max="14511" width="8.44140625" style="1" customWidth="1"/>
    <col min="14512" max="14512" width="34.5546875" style="1" customWidth="1"/>
    <col min="14513" max="14513" width="0" style="1" hidden="1" customWidth="1"/>
    <col min="14514" max="14514" width="8.88671875" style="1"/>
    <col min="14515" max="14515" width="52.5546875" style="1" customWidth="1"/>
    <col min="14516" max="14751" width="8.88671875" style="1"/>
    <col min="14752" max="14752" width="5.6640625" style="1" bestFit="1" customWidth="1"/>
    <col min="14753" max="14753" width="34.5546875" style="1" customWidth="1"/>
    <col min="14754" max="14754" width="0" style="1" hidden="1" customWidth="1"/>
    <col min="14755" max="14755" width="16.6640625" style="1" customWidth="1"/>
    <col min="14756" max="14756" width="18.88671875" style="1" customWidth="1"/>
    <col min="14757" max="14757" width="8.109375" style="1" customWidth="1"/>
    <col min="14758" max="14758" width="4.88671875" style="1" bestFit="1" customWidth="1"/>
    <col min="14759" max="14759" width="4.88671875" style="1" customWidth="1"/>
    <col min="14760" max="14760" width="6" style="1" customWidth="1"/>
    <col min="14761" max="14761" width="8.109375" style="1" customWidth="1"/>
    <col min="14762" max="14762" width="10.88671875" style="1" customWidth="1"/>
    <col min="14763" max="14763" width="10" style="1" customWidth="1"/>
    <col min="14764" max="14764" width="11.109375" style="1" customWidth="1"/>
    <col min="14765" max="14765" width="13.21875" style="1" customWidth="1"/>
    <col min="14766" max="14766" width="12.44140625" style="1" customWidth="1"/>
    <col min="14767" max="14767" width="8.44140625" style="1" customWidth="1"/>
    <col min="14768" max="14768" width="34.5546875" style="1" customWidth="1"/>
    <col min="14769" max="14769" width="0" style="1" hidden="1" customWidth="1"/>
    <col min="14770" max="14770" width="8.88671875" style="1"/>
    <col min="14771" max="14771" width="52.5546875" style="1" customWidth="1"/>
    <col min="14772" max="15007" width="8.88671875" style="1"/>
    <col min="15008" max="15008" width="5.6640625" style="1" bestFit="1" customWidth="1"/>
    <col min="15009" max="15009" width="34.5546875" style="1" customWidth="1"/>
    <col min="15010" max="15010" width="0" style="1" hidden="1" customWidth="1"/>
    <col min="15011" max="15011" width="16.6640625" style="1" customWidth="1"/>
    <col min="15012" max="15012" width="18.88671875" style="1" customWidth="1"/>
    <col min="15013" max="15013" width="8.109375" style="1" customWidth="1"/>
    <col min="15014" max="15014" width="4.88671875" style="1" bestFit="1" customWidth="1"/>
    <col min="15015" max="15015" width="4.88671875" style="1" customWidth="1"/>
    <col min="15016" max="15016" width="6" style="1" customWidth="1"/>
    <col min="15017" max="15017" width="8.109375" style="1" customWidth="1"/>
    <col min="15018" max="15018" width="10.88671875" style="1" customWidth="1"/>
    <col min="15019" max="15019" width="10" style="1" customWidth="1"/>
    <col min="15020" max="15020" width="11.109375" style="1" customWidth="1"/>
    <col min="15021" max="15021" width="13.21875" style="1" customWidth="1"/>
    <col min="15022" max="15022" width="12.44140625" style="1" customWidth="1"/>
    <col min="15023" max="15023" width="8.44140625" style="1" customWidth="1"/>
    <col min="15024" max="15024" width="34.5546875" style="1" customWidth="1"/>
    <col min="15025" max="15025" width="0" style="1" hidden="1" customWidth="1"/>
    <col min="15026" max="15026" width="8.88671875" style="1"/>
    <col min="15027" max="15027" width="52.5546875" style="1" customWidth="1"/>
    <col min="15028" max="15263" width="8.88671875" style="1"/>
    <col min="15264" max="15264" width="5.6640625" style="1" bestFit="1" customWidth="1"/>
    <col min="15265" max="15265" width="34.5546875" style="1" customWidth="1"/>
    <col min="15266" max="15266" width="0" style="1" hidden="1" customWidth="1"/>
    <col min="15267" max="15267" width="16.6640625" style="1" customWidth="1"/>
    <col min="15268" max="15268" width="18.88671875" style="1" customWidth="1"/>
    <col min="15269" max="15269" width="8.109375" style="1" customWidth="1"/>
    <col min="15270" max="15270" width="4.88671875" style="1" bestFit="1" customWidth="1"/>
    <col min="15271" max="15271" width="4.88671875" style="1" customWidth="1"/>
    <col min="15272" max="15272" width="6" style="1" customWidth="1"/>
    <col min="15273" max="15273" width="8.109375" style="1" customWidth="1"/>
    <col min="15274" max="15274" width="10.88671875" style="1" customWidth="1"/>
    <col min="15275" max="15275" width="10" style="1" customWidth="1"/>
    <col min="15276" max="15276" width="11.109375" style="1" customWidth="1"/>
    <col min="15277" max="15277" width="13.21875" style="1" customWidth="1"/>
    <col min="15278" max="15278" width="12.44140625" style="1" customWidth="1"/>
    <col min="15279" max="15279" width="8.44140625" style="1" customWidth="1"/>
    <col min="15280" max="15280" width="34.5546875" style="1" customWidth="1"/>
    <col min="15281" max="15281" width="0" style="1" hidden="1" customWidth="1"/>
    <col min="15282" max="15282" width="8.88671875" style="1"/>
    <col min="15283" max="15283" width="52.5546875" style="1" customWidth="1"/>
    <col min="15284" max="15519" width="8.88671875" style="1"/>
    <col min="15520" max="15520" width="5.6640625" style="1" bestFit="1" customWidth="1"/>
    <col min="15521" max="15521" width="34.5546875" style="1" customWidth="1"/>
    <col min="15522" max="15522" width="0" style="1" hidden="1" customWidth="1"/>
    <col min="15523" max="15523" width="16.6640625" style="1" customWidth="1"/>
    <col min="15524" max="15524" width="18.88671875" style="1" customWidth="1"/>
    <col min="15525" max="15525" width="8.109375" style="1" customWidth="1"/>
    <col min="15526" max="15526" width="4.88671875" style="1" bestFit="1" customWidth="1"/>
    <col min="15527" max="15527" width="4.88671875" style="1" customWidth="1"/>
    <col min="15528" max="15528" width="6" style="1" customWidth="1"/>
    <col min="15529" max="15529" width="8.109375" style="1" customWidth="1"/>
    <col min="15530" max="15530" width="10.88671875" style="1" customWidth="1"/>
    <col min="15531" max="15531" width="10" style="1" customWidth="1"/>
    <col min="15532" max="15532" width="11.109375" style="1" customWidth="1"/>
    <col min="15533" max="15533" width="13.21875" style="1" customWidth="1"/>
    <col min="15534" max="15534" width="12.44140625" style="1" customWidth="1"/>
    <col min="15535" max="15535" width="8.44140625" style="1" customWidth="1"/>
    <col min="15536" max="15536" width="34.5546875" style="1" customWidth="1"/>
    <col min="15537" max="15537" width="0" style="1" hidden="1" customWidth="1"/>
    <col min="15538" max="15538" width="8.88671875" style="1"/>
    <col min="15539" max="15539" width="52.5546875" style="1" customWidth="1"/>
    <col min="15540" max="15775" width="8.88671875" style="1"/>
    <col min="15776" max="15776" width="5.6640625" style="1" bestFit="1" customWidth="1"/>
    <col min="15777" max="15777" width="34.5546875" style="1" customWidth="1"/>
    <col min="15778" max="15778" width="0" style="1" hidden="1" customWidth="1"/>
    <col min="15779" max="15779" width="16.6640625" style="1" customWidth="1"/>
    <col min="15780" max="15780" width="18.88671875" style="1" customWidth="1"/>
    <col min="15781" max="15781" width="8.109375" style="1" customWidth="1"/>
    <col min="15782" max="15782" width="4.88671875" style="1" bestFit="1" customWidth="1"/>
    <col min="15783" max="15783" width="4.88671875" style="1" customWidth="1"/>
    <col min="15784" max="15784" width="6" style="1" customWidth="1"/>
    <col min="15785" max="15785" width="8.109375" style="1" customWidth="1"/>
    <col min="15786" max="15786" width="10.88671875" style="1" customWidth="1"/>
    <col min="15787" max="15787" width="10" style="1" customWidth="1"/>
    <col min="15788" max="15788" width="11.109375" style="1" customWidth="1"/>
    <col min="15789" max="15789" width="13.21875" style="1" customWidth="1"/>
    <col min="15790" max="15790" width="12.44140625" style="1" customWidth="1"/>
    <col min="15791" max="15791" width="8.44140625" style="1" customWidth="1"/>
    <col min="15792" max="15792" width="34.5546875" style="1" customWidth="1"/>
    <col min="15793" max="15793" width="0" style="1" hidden="1" customWidth="1"/>
    <col min="15794" max="15794" width="8.88671875" style="1"/>
    <col min="15795" max="15795" width="52.5546875" style="1" customWidth="1"/>
    <col min="15796" max="16031" width="8.88671875" style="1"/>
    <col min="16032" max="16032" width="5.6640625" style="1" bestFit="1" customWidth="1"/>
    <col min="16033" max="16033" width="34.5546875" style="1" customWidth="1"/>
    <col min="16034" max="16034" width="0" style="1" hidden="1" customWidth="1"/>
    <col min="16035" max="16035" width="16.6640625" style="1" customWidth="1"/>
    <col min="16036" max="16036" width="18.88671875" style="1" customWidth="1"/>
    <col min="16037" max="16037" width="8.109375" style="1" customWidth="1"/>
    <col min="16038" max="16038" width="4.88671875" style="1" bestFit="1" customWidth="1"/>
    <col min="16039" max="16039" width="4.88671875" style="1" customWidth="1"/>
    <col min="16040" max="16040" width="6" style="1" customWidth="1"/>
    <col min="16041" max="16041" width="8.109375" style="1" customWidth="1"/>
    <col min="16042" max="16042" width="10.88671875" style="1" customWidth="1"/>
    <col min="16043" max="16043" width="10" style="1" customWidth="1"/>
    <col min="16044" max="16044" width="11.109375" style="1" customWidth="1"/>
    <col min="16045" max="16045" width="13.21875" style="1" customWidth="1"/>
    <col min="16046" max="16046" width="12.44140625" style="1" customWidth="1"/>
    <col min="16047" max="16047" width="8.44140625" style="1" customWidth="1"/>
    <col min="16048" max="16048" width="34.5546875" style="1" customWidth="1"/>
    <col min="16049" max="16049" width="0" style="1" hidden="1" customWidth="1"/>
    <col min="16050" max="16050" width="8.88671875" style="1"/>
    <col min="16051" max="16051" width="52.5546875" style="1" customWidth="1"/>
    <col min="16052" max="16290" width="8.88671875" style="1"/>
    <col min="16291" max="16384" width="7.5546875" style="1" customWidth="1"/>
  </cols>
  <sheetData>
    <row r="1" spans="1:159" s="2" customFormat="1" ht="78.75" customHeight="1">
      <c r="A1" s="10" t="s">
        <v>399</v>
      </c>
      <c r="B1" s="10"/>
      <c r="C1" s="10"/>
      <c r="D1" s="10"/>
      <c r="H1" s="11" t="s">
        <v>287</v>
      </c>
      <c r="I1" s="11"/>
      <c r="J1" s="11"/>
      <c r="K1" s="11"/>
      <c r="L1" s="11"/>
      <c r="M1" s="11"/>
      <c r="N1" s="11"/>
      <c r="O1" s="11"/>
    </row>
    <row r="2" spans="1:159" ht="43.7" customHeight="1">
      <c r="A2" s="12" t="s">
        <v>286</v>
      </c>
      <c r="B2" s="12"/>
      <c r="C2" s="12"/>
      <c r="D2" s="12"/>
      <c r="E2" s="12"/>
      <c r="F2" s="12"/>
      <c r="G2" s="12"/>
      <c r="H2" s="12"/>
      <c r="I2" s="12"/>
      <c r="J2" s="12"/>
      <c r="K2" s="12"/>
      <c r="L2" s="12"/>
      <c r="M2" s="12"/>
      <c r="N2" s="12"/>
      <c r="O2" s="12"/>
    </row>
    <row r="3" spans="1:159" ht="15.75" customHeight="1">
      <c r="A3" s="13" t="s">
        <v>153</v>
      </c>
      <c r="B3" s="13" t="s">
        <v>152</v>
      </c>
      <c r="C3" s="13" t="s">
        <v>151</v>
      </c>
      <c r="D3" s="14" t="s">
        <v>278</v>
      </c>
      <c r="E3" s="14" t="s">
        <v>279</v>
      </c>
      <c r="F3" s="13" t="s">
        <v>150</v>
      </c>
      <c r="G3" s="13"/>
      <c r="H3" s="13" t="s">
        <v>149</v>
      </c>
      <c r="I3" s="13" t="s">
        <v>148</v>
      </c>
      <c r="J3" s="13" t="s">
        <v>147</v>
      </c>
      <c r="K3" s="15" t="s">
        <v>146</v>
      </c>
      <c r="L3" s="15"/>
      <c r="M3" s="15"/>
      <c r="N3" s="15" t="s">
        <v>283</v>
      </c>
      <c r="O3" s="13" t="s">
        <v>145</v>
      </c>
    </row>
    <row r="4" spans="1:159" ht="78" customHeight="1">
      <c r="A4" s="16"/>
      <c r="B4" s="16"/>
      <c r="C4" s="16"/>
      <c r="D4" s="17"/>
      <c r="E4" s="17"/>
      <c r="F4" s="18" t="s">
        <v>144</v>
      </c>
      <c r="G4" s="19" t="s">
        <v>143</v>
      </c>
      <c r="H4" s="16"/>
      <c r="I4" s="16"/>
      <c r="J4" s="16"/>
      <c r="K4" s="20" t="s">
        <v>280</v>
      </c>
      <c r="L4" s="20" t="s">
        <v>281</v>
      </c>
      <c r="M4" s="20" t="s">
        <v>282</v>
      </c>
      <c r="N4" s="21"/>
      <c r="O4" s="16"/>
    </row>
    <row r="5" spans="1:159" ht="15.75" hidden="1">
      <c r="A5" s="19">
        <v>1</v>
      </c>
      <c r="B5" s="19">
        <f>1+A5</f>
        <v>2</v>
      </c>
      <c r="C5" s="19">
        <v>4</v>
      </c>
      <c r="D5" s="19">
        <v>5</v>
      </c>
      <c r="E5" s="19"/>
      <c r="F5" s="22">
        <v>6</v>
      </c>
      <c r="G5" s="22"/>
      <c r="H5" s="19">
        <v>7</v>
      </c>
      <c r="I5" s="19">
        <v>8</v>
      </c>
      <c r="J5" s="23">
        <v>9</v>
      </c>
      <c r="K5" s="24">
        <v>10</v>
      </c>
      <c r="L5" s="24">
        <v>11</v>
      </c>
      <c r="M5" s="24">
        <v>12</v>
      </c>
      <c r="N5" s="25">
        <v>13</v>
      </c>
      <c r="O5" s="25">
        <v>16</v>
      </c>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c r="DW5" s="26"/>
      <c r="DX5" s="26"/>
      <c r="DY5" s="26"/>
      <c r="DZ5" s="26"/>
      <c r="EA5" s="26"/>
      <c r="EB5" s="26"/>
      <c r="EC5" s="26"/>
      <c r="ED5" s="26"/>
      <c r="EE5" s="26"/>
      <c r="EF5" s="26"/>
      <c r="EG5" s="26"/>
      <c r="EH5" s="26"/>
      <c r="EI5" s="26"/>
      <c r="EJ5" s="26"/>
      <c r="EK5" s="26"/>
      <c r="EL5" s="26"/>
      <c r="EM5" s="26"/>
      <c r="EN5" s="26"/>
      <c r="EO5" s="26"/>
      <c r="EP5" s="26"/>
      <c r="EQ5" s="26"/>
      <c r="ER5" s="26"/>
      <c r="ES5" s="26"/>
      <c r="ET5" s="26"/>
      <c r="EU5" s="26"/>
      <c r="EV5" s="26"/>
      <c r="EW5" s="26"/>
      <c r="EX5" s="26"/>
      <c r="EY5" s="26"/>
      <c r="EZ5" s="26"/>
      <c r="FA5" s="26"/>
      <c r="FB5" s="26"/>
      <c r="FC5" s="26"/>
    </row>
    <row r="6" spans="1:159" ht="15.75">
      <c r="A6" s="27" t="s">
        <v>142</v>
      </c>
      <c r="B6" s="28" t="s">
        <v>141</v>
      </c>
      <c r="C6" s="28"/>
      <c r="D6" s="29"/>
      <c r="E6" s="29"/>
      <c r="F6" s="29"/>
      <c r="G6" s="29"/>
      <c r="H6" s="30">
        <f>H7+H69+H167</f>
        <v>166</v>
      </c>
      <c r="I6" s="30"/>
      <c r="J6" s="31">
        <f>J7+J69+J167</f>
        <v>4770</v>
      </c>
      <c r="K6" s="31">
        <f>K7+K69+K167</f>
        <v>2351033.333333333</v>
      </c>
      <c r="L6" s="31">
        <f>L7+L69+L167</f>
        <v>1782640</v>
      </c>
      <c r="M6" s="31">
        <f>M7+M69+M167</f>
        <v>4133673.3333333335</v>
      </c>
      <c r="N6" s="30"/>
      <c r="O6" s="32"/>
    </row>
    <row r="7" spans="1:159">
      <c r="A7" s="27" t="s">
        <v>140</v>
      </c>
      <c r="B7" s="28" t="s">
        <v>284</v>
      </c>
      <c r="C7" s="28"/>
      <c r="D7" s="29"/>
      <c r="E7" s="29"/>
      <c r="F7" s="29"/>
      <c r="G7" s="29"/>
      <c r="H7" s="30">
        <f>H8+H28+H32+H39+H45+H53+H56+H57+H61+H63+H67+H68</f>
        <v>71</v>
      </c>
      <c r="I7" s="30"/>
      <c r="J7" s="30">
        <f>J8+J28+J32+J39+J45+J53+J56+J57+J61+J63+J67+J68</f>
        <v>4079</v>
      </c>
      <c r="K7" s="30">
        <f>K8+K28+K32+K39+K45+K53+K56+K57+K61+K63+K67+K68</f>
        <v>446500</v>
      </c>
      <c r="L7" s="30">
        <f>L8+L28+L32+L39+L45+L53+L56+L57+L61+L63+L67+L68</f>
        <v>418900</v>
      </c>
      <c r="M7" s="30">
        <f>M8+M28+M32+M39+M45+M53+M56+M57+M61+M63+M67+M68</f>
        <v>865400</v>
      </c>
      <c r="N7" s="30"/>
      <c r="O7" s="32">
        <f>M6-O6</f>
        <v>4133673.3333333335</v>
      </c>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row>
    <row r="8" spans="1:159">
      <c r="A8" s="27">
        <v>1</v>
      </c>
      <c r="B8" s="33" t="s">
        <v>139</v>
      </c>
      <c r="C8" s="34"/>
      <c r="D8" s="27"/>
      <c r="E8" s="27"/>
      <c r="F8" s="27"/>
      <c r="G8" s="27"/>
      <c r="H8" s="30">
        <f>H9+H12+H14+H17+H20</f>
        <v>14</v>
      </c>
      <c r="I8" s="27"/>
      <c r="J8" s="30">
        <f>J9+J12+J14+J17+J20</f>
        <v>823</v>
      </c>
      <c r="K8" s="31">
        <f>K9+K12+K14+K17+K20</f>
        <v>0</v>
      </c>
      <c r="L8" s="31">
        <f>L9+L12+L14+L17+L20</f>
        <v>0</v>
      </c>
      <c r="M8" s="31">
        <f>M9+M12+M14+M17+M20</f>
        <v>0</v>
      </c>
      <c r="N8" s="35"/>
      <c r="O8" s="28"/>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row>
    <row r="9" spans="1:159" ht="31.5">
      <c r="A9" s="27">
        <v>1.1000000000000001</v>
      </c>
      <c r="B9" s="33" t="s">
        <v>138</v>
      </c>
      <c r="C9" s="27"/>
      <c r="D9" s="27" t="s">
        <v>0</v>
      </c>
      <c r="E9" s="27"/>
      <c r="F9" s="27" t="s">
        <v>130</v>
      </c>
      <c r="G9" s="27"/>
      <c r="H9" s="30">
        <f>SUM(H10:H11)</f>
        <v>2</v>
      </c>
      <c r="I9" s="30"/>
      <c r="J9" s="30">
        <f t="shared" ref="J9:M9" si="0">SUM(J10:J11)</f>
        <v>35</v>
      </c>
      <c r="K9" s="30">
        <f t="shared" si="0"/>
        <v>0</v>
      </c>
      <c r="L9" s="30">
        <f t="shared" si="0"/>
        <v>0</v>
      </c>
      <c r="M9" s="30">
        <f t="shared" si="0"/>
        <v>0</v>
      </c>
      <c r="N9" s="36"/>
      <c r="O9" s="37" t="s">
        <v>112</v>
      </c>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row>
    <row r="10" spans="1:159" ht="73.5" customHeight="1">
      <c r="A10" s="29" t="s">
        <v>137</v>
      </c>
      <c r="B10" s="38" t="s">
        <v>290</v>
      </c>
      <c r="C10" s="39" t="s">
        <v>314</v>
      </c>
      <c r="D10" s="29"/>
      <c r="E10" s="40"/>
      <c r="F10" s="29"/>
      <c r="G10" s="29"/>
      <c r="H10" s="36">
        <v>1</v>
      </c>
      <c r="I10" s="30"/>
      <c r="J10" s="40">
        <v>13</v>
      </c>
      <c r="K10" s="31">
        <v>0</v>
      </c>
      <c r="L10" s="31">
        <v>0</v>
      </c>
      <c r="M10" s="31">
        <f>K10+N10</f>
        <v>0</v>
      </c>
      <c r="N10" s="30"/>
      <c r="O10" s="32"/>
    </row>
    <row r="11" spans="1:159" ht="75" customHeight="1">
      <c r="A11" s="29" t="s">
        <v>337</v>
      </c>
      <c r="B11" s="38" t="s">
        <v>291</v>
      </c>
      <c r="C11" s="39" t="s">
        <v>315</v>
      </c>
      <c r="D11" s="29"/>
      <c r="E11" s="40"/>
      <c r="F11" s="29"/>
      <c r="G11" s="29"/>
      <c r="H11" s="36">
        <v>1</v>
      </c>
      <c r="I11" s="30"/>
      <c r="J11" s="40">
        <v>22</v>
      </c>
      <c r="K11" s="31">
        <v>0</v>
      </c>
      <c r="L11" s="31">
        <v>0</v>
      </c>
      <c r="M11" s="31">
        <f>K11+N11</f>
        <v>0</v>
      </c>
      <c r="N11" s="30"/>
      <c r="O11" s="32"/>
    </row>
    <row r="12" spans="1:159" ht="31.5">
      <c r="A12" s="27">
        <f>0.1+A9</f>
        <v>1.2000000000000002</v>
      </c>
      <c r="B12" s="33" t="s">
        <v>136</v>
      </c>
      <c r="C12" s="27"/>
      <c r="D12" s="27" t="s">
        <v>0</v>
      </c>
      <c r="E12" s="27"/>
      <c r="F12" s="29" t="s">
        <v>130</v>
      </c>
      <c r="G12" s="27"/>
      <c r="H12" s="27">
        <f t="shared" ref="H12:M12" si="1">SUM(H13:H13)</f>
        <v>1</v>
      </c>
      <c r="I12" s="27">
        <f t="shared" si="1"/>
        <v>5</v>
      </c>
      <c r="J12" s="41">
        <f t="shared" si="1"/>
        <v>5</v>
      </c>
      <c r="K12" s="42">
        <f t="shared" si="1"/>
        <v>0</v>
      </c>
      <c r="L12" s="31">
        <f t="shared" si="1"/>
        <v>0</v>
      </c>
      <c r="M12" s="43">
        <f t="shared" si="1"/>
        <v>0</v>
      </c>
      <c r="N12" s="30"/>
      <c r="O12" s="37" t="s">
        <v>112</v>
      </c>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row>
    <row r="13" spans="1:159" ht="63.75" customHeight="1">
      <c r="A13" s="29" t="s">
        <v>135</v>
      </c>
      <c r="B13" s="38" t="s">
        <v>298</v>
      </c>
      <c r="C13" s="39" t="s">
        <v>322</v>
      </c>
      <c r="D13" s="27"/>
      <c r="E13" s="27"/>
      <c r="F13" s="29"/>
      <c r="G13" s="29"/>
      <c r="H13" s="29">
        <v>1</v>
      </c>
      <c r="I13" s="29">
        <v>5</v>
      </c>
      <c r="J13" s="44">
        <f>H13*I13</f>
        <v>5</v>
      </c>
      <c r="K13" s="45">
        <v>0</v>
      </c>
      <c r="L13" s="45">
        <v>0</v>
      </c>
      <c r="M13" s="45">
        <f>K13+L13</f>
        <v>0</v>
      </c>
      <c r="N13" s="46"/>
      <c r="O13" s="37"/>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row>
    <row r="14" spans="1:159" ht="31.5">
      <c r="A14" s="27">
        <f>0.1+A12</f>
        <v>1.3000000000000003</v>
      </c>
      <c r="B14" s="33" t="s">
        <v>134</v>
      </c>
      <c r="C14" s="27"/>
      <c r="D14" s="27" t="s">
        <v>0</v>
      </c>
      <c r="E14" s="27"/>
      <c r="F14" s="29" t="s">
        <v>130</v>
      </c>
      <c r="G14" s="27"/>
      <c r="H14" s="30">
        <f>SUM(H15:H16)</f>
        <v>2</v>
      </c>
      <c r="I14" s="30"/>
      <c r="J14" s="30">
        <f t="shared" ref="J14:M14" si="2">SUM(J15:J16)</f>
        <v>39</v>
      </c>
      <c r="K14" s="30">
        <f t="shared" si="2"/>
        <v>0</v>
      </c>
      <c r="L14" s="30">
        <f t="shared" si="2"/>
        <v>0</v>
      </c>
      <c r="M14" s="30">
        <f t="shared" si="2"/>
        <v>0</v>
      </c>
      <c r="N14" s="36"/>
      <c r="O14" s="37" t="s">
        <v>112</v>
      </c>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row>
    <row r="15" spans="1:159" ht="51" customHeight="1">
      <c r="A15" s="29" t="s">
        <v>133</v>
      </c>
      <c r="B15" s="38" t="s">
        <v>296</v>
      </c>
      <c r="C15" s="39" t="s">
        <v>320</v>
      </c>
      <c r="D15" s="29"/>
      <c r="E15" s="40"/>
      <c r="F15" s="29"/>
      <c r="G15" s="29"/>
      <c r="H15" s="30">
        <v>1</v>
      </c>
      <c r="I15" s="30"/>
      <c r="J15" s="40">
        <v>27</v>
      </c>
      <c r="K15" s="45">
        <v>0</v>
      </c>
      <c r="L15" s="45">
        <v>0</v>
      </c>
      <c r="M15" s="45">
        <f>K15+L15</f>
        <v>0</v>
      </c>
      <c r="N15" s="36"/>
      <c r="O15" s="37"/>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row>
    <row r="16" spans="1:159" ht="54.75" customHeight="1">
      <c r="A16" s="29" t="s">
        <v>338</v>
      </c>
      <c r="B16" s="38" t="s">
        <v>297</v>
      </c>
      <c r="C16" s="39" t="s">
        <v>321</v>
      </c>
      <c r="D16" s="29"/>
      <c r="E16" s="40"/>
      <c r="F16" s="29"/>
      <c r="G16" s="29"/>
      <c r="H16" s="30">
        <v>1</v>
      </c>
      <c r="I16" s="30"/>
      <c r="J16" s="40">
        <v>12</v>
      </c>
      <c r="K16" s="45">
        <v>0</v>
      </c>
      <c r="L16" s="45">
        <v>0</v>
      </c>
      <c r="M16" s="45">
        <f>K16+L16</f>
        <v>0</v>
      </c>
      <c r="N16" s="30"/>
      <c r="O16" s="32"/>
    </row>
    <row r="17" spans="1:159" ht="47.25">
      <c r="A17" s="27">
        <f>0.1+A14</f>
        <v>1.4000000000000004</v>
      </c>
      <c r="B17" s="33" t="s">
        <v>132</v>
      </c>
      <c r="C17" s="27"/>
      <c r="D17" s="27" t="s">
        <v>0</v>
      </c>
      <c r="E17" s="27"/>
      <c r="F17" s="29" t="s">
        <v>130</v>
      </c>
      <c r="G17" s="27"/>
      <c r="H17" s="30">
        <f>SUM(H18:H19)</f>
        <v>2</v>
      </c>
      <c r="I17" s="30">
        <f t="shared" ref="I17:M17" si="3">SUM(I18:I19)</f>
        <v>0</v>
      </c>
      <c r="J17" s="30">
        <f t="shared" si="3"/>
        <v>39</v>
      </c>
      <c r="K17" s="30">
        <f t="shared" si="3"/>
        <v>0</v>
      </c>
      <c r="L17" s="30">
        <f t="shared" si="3"/>
        <v>0</v>
      </c>
      <c r="M17" s="30">
        <f t="shared" si="3"/>
        <v>0</v>
      </c>
      <c r="N17" s="36"/>
      <c r="O17" s="37" t="s">
        <v>112</v>
      </c>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row>
    <row r="18" spans="1:159" ht="47.25">
      <c r="A18" s="29" t="s">
        <v>131</v>
      </c>
      <c r="B18" s="38" t="s">
        <v>294</v>
      </c>
      <c r="C18" s="39" t="s">
        <v>318</v>
      </c>
      <c r="D18" s="29"/>
      <c r="E18" s="40"/>
      <c r="F18" s="29"/>
      <c r="G18" s="29"/>
      <c r="H18" s="36">
        <v>1</v>
      </c>
      <c r="I18" s="30"/>
      <c r="J18" s="40">
        <v>25</v>
      </c>
      <c r="K18" s="45">
        <v>0</v>
      </c>
      <c r="L18" s="45"/>
      <c r="M18" s="45">
        <f>SUM(K18:L18)</f>
        <v>0</v>
      </c>
      <c r="N18" s="36"/>
      <c r="O18" s="37"/>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row>
    <row r="19" spans="1:159" ht="74.25" customHeight="1">
      <c r="A19" s="29" t="s">
        <v>339</v>
      </c>
      <c r="B19" s="38" t="s">
        <v>295</v>
      </c>
      <c r="C19" s="39" t="s">
        <v>319</v>
      </c>
      <c r="D19" s="29"/>
      <c r="E19" s="40"/>
      <c r="F19" s="29"/>
      <c r="G19" s="29"/>
      <c r="H19" s="36">
        <v>1</v>
      </c>
      <c r="I19" s="30"/>
      <c r="J19" s="40">
        <v>14</v>
      </c>
      <c r="K19" s="31"/>
      <c r="L19" s="31"/>
      <c r="M19" s="31"/>
      <c r="N19" s="30"/>
      <c r="O19" s="32"/>
    </row>
    <row r="20" spans="1:159">
      <c r="A20" s="27">
        <f>0.1+A17</f>
        <v>1.5000000000000004</v>
      </c>
      <c r="B20" s="33" t="s">
        <v>129</v>
      </c>
      <c r="C20" s="27"/>
      <c r="D20" s="27" t="s">
        <v>0</v>
      </c>
      <c r="E20" s="27"/>
      <c r="F20" s="27"/>
      <c r="G20" s="27"/>
      <c r="H20" s="30">
        <f>SUM(H21:H27)</f>
        <v>7</v>
      </c>
      <c r="I20" s="30"/>
      <c r="J20" s="30">
        <f t="shared" ref="J20:M20" si="4">SUM(J21:J27)</f>
        <v>705</v>
      </c>
      <c r="K20" s="30">
        <f t="shared" si="4"/>
        <v>0</v>
      </c>
      <c r="L20" s="30">
        <f t="shared" si="4"/>
        <v>0</v>
      </c>
      <c r="M20" s="30">
        <f t="shared" si="4"/>
        <v>0</v>
      </c>
      <c r="N20" s="30"/>
      <c r="O20" s="37" t="s">
        <v>112</v>
      </c>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row>
    <row r="21" spans="1:159" ht="81" customHeight="1">
      <c r="A21" s="29" t="s">
        <v>128</v>
      </c>
      <c r="B21" s="38" t="s">
        <v>288</v>
      </c>
      <c r="C21" s="39" t="s">
        <v>312</v>
      </c>
      <c r="D21" s="29"/>
      <c r="E21" s="40"/>
      <c r="F21" s="29"/>
      <c r="G21" s="29"/>
      <c r="H21" s="36">
        <v>1</v>
      </c>
      <c r="I21" s="30"/>
      <c r="J21" s="40">
        <v>179</v>
      </c>
      <c r="K21" s="45">
        <v>0</v>
      </c>
      <c r="L21" s="45">
        <v>0</v>
      </c>
      <c r="M21" s="45">
        <f>K21+L21</f>
        <v>0</v>
      </c>
      <c r="N21" s="46">
        <v>9</v>
      </c>
      <c r="O21" s="37"/>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row>
    <row r="22" spans="1:159" ht="51" customHeight="1">
      <c r="A22" s="29" t="s">
        <v>340</v>
      </c>
      <c r="B22" s="38" t="s">
        <v>289</v>
      </c>
      <c r="C22" s="39" t="s">
        <v>313</v>
      </c>
      <c r="D22" s="29"/>
      <c r="E22" s="40"/>
      <c r="F22" s="29"/>
      <c r="G22" s="29"/>
      <c r="H22" s="36">
        <v>1</v>
      </c>
      <c r="I22" s="30"/>
      <c r="J22" s="40">
        <v>3</v>
      </c>
      <c r="K22" s="45">
        <v>0</v>
      </c>
      <c r="L22" s="45">
        <v>0</v>
      </c>
      <c r="M22" s="45">
        <f t="shared" ref="M22:M27" si="5">K22+L22</f>
        <v>0</v>
      </c>
      <c r="N22" s="30"/>
      <c r="O22" s="32"/>
    </row>
    <row r="23" spans="1:159" ht="90" customHeight="1">
      <c r="A23" s="29" t="s">
        <v>341</v>
      </c>
      <c r="B23" s="38" t="s">
        <v>292</v>
      </c>
      <c r="C23" s="39" t="s">
        <v>316</v>
      </c>
      <c r="D23" s="29"/>
      <c r="E23" s="40"/>
      <c r="F23" s="29"/>
      <c r="G23" s="29"/>
      <c r="H23" s="36">
        <v>1</v>
      </c>
      <c r="I23" s="30"/>
      <c r="J23" s="40">
        <v>271</v>
      </c>
      <c r="K23" s="45">
        <v>0</v>
      </c>
      <c r="L23" s="45">
        <v>0</v>
      </c>
      <c r="M23" s="45">
        <f t="shared" si="5"/>
        <v>0</v>
      </c>
      <c r="N23" s="30"/>
      <c r="O23" s="32"/>
    </row>
    <row r="24" spans="1:159" ht="63">
      <c r="A24" s="29" t="s">
        <v>342</v>
      </c>
      <c r="B24" s="38" t="s">
        <v>293</v>
      </c>
      <c r="C24" s="39" t="s">
        <v>317</v>
      </c>
      <c r="D24" s="29"/>
      <c r="E24" s="40"/>
      <c r="F24" s="29"/>
      <c r="G24" s="29"/>
      <c r="H24" s="36">
        <v>1</v>
      </c>
      <c r="I24" s="30"/>
      <c r="J24" s="40">
        <v>92</v>
      </c>
      <c r="K24" s="45">
        <v>0</v>
      </c>
      <c r="L24" s="45">
        <v>0</v>
      </c>
      <c r="M24" s="45">
        <f t="shared" si="5"/>
        <v>0</v>
      </c>
      <c r="N24" s="30"/>
      <c r="O24" s="32"/>
    </row>
    <row r="25" spans="1:159" ht="68.25" customHeight="1">
      <c r="A25" s="29" t="s">
        <v>343</v>
      </c>
      <c r="B25" s="38" t="s">
        <v>309</v>
      </c>
      <c r="C25" s="39" t="s">
        <v>333</v>
      </c>
      <c r="D25" s="29"/>
      <c r="E25" s="40"/>
      <c r="F25" s="29"/>
      <c r="G25" s="29"/>
      <c r="H25" s="36">
        <v>1</v>
      </c>
      <c r="I25" s="30"/>
      <c r="J25" s="40">
        <v>50</v>
      </c>
      <c r="K25" s="45">
        <v>0</v>
      </c>
      <c r="L25" s="45">
        <v>0</v>
      </c>
      <c r="M25" s="45">
        <f t="shared" si="5"/>
        <v>0</v>
      </c>
      <c r="N25" s="30"/>
      <c r="O25" s="32"/>
    </row>
    <row r="26" spans="1:159" ht="72" customHeight="1">
      <c r="A26" s="29" t="s">
        <v>344</v>
      </c>
      <c r="B26" s="38" t="s">
        <v>310</v>
      </c>
      <c r="C26" s="39" t="s">
        <v>334</v>
      </c>
      <c r="D26" s="29"/>
      <c r="E26" s="40"/>
      <c r="F26" s="29"/>
      <c r="G26" s="29"/>
      <c r="H26" s="36">
        <v>1</v>
      </c>
      <c r="I26" s="30"/>
      <c r="J26" s="40" t="s">
        <v>335</v>
      </c>
      <c r="K26" s="45">
        <v>0</v>
      </c>
      <c r="L26" s="45">
        <v>0</v>
      </c>
      <c r="M26" s="45">
        <f t="shared" si="5"/>
        <v>0</v>
      </c>
      <c r="N26" s="30"/>
      <c r="O26" s="32"/>
    </row>
    <row r="27" spans="1:159" ht="78.75">
      <c r="A27" s="29" t="s">
        <v>345</v>
      </c>
      <c r="B27" s="38" t="s">
        <v>311</v>
      </c>
      <c r="C27" s="39" t="s">
        <v>346</v>
      </c>
      <c r="D27" s="29"/>
      <c r="E27" s="40"/>
      <c r="F27" s="29"/>
      <c r="G27" s="29"/>
      <c r="H27" s="36">
        <v>1</v>
      </c>
      <c r="I27" s="30"/>
      <c r="J27" s="40">
        <v>110</v>
      </c>
      <c r="K27" s="45">
        <v>0</v>
      </c>
      <c r="L27" s="45">
        <v>0</v>
      </c>
      <c r="M27" s="45">
        <f t="shared" si="5"/>
        <v>0</v>
      </c>
      <c r="N27" s="30"/>
      <c r="O27" s="32"/>
    </row>
    <row r="28" spans="1:159">
      <c r="A28" s="27">
        <f>1+A8</f>
        <v>2</v>
      </c>
      <c r="B28" s="33" t="s">
        <v>127</v>
      </c>
      <c r="C28" s="27"/>
      <c r="D28" s="27"/>
      <c r="E28" s="27"/>
      <c r="F28" s="27"/>
      <c r="G28" s="27"/>
      <c r="H28" s="30">
        <f>SUM(H29:H31)</f>
        <v>3</v>
      </c>
      <c r="I28" s="30"/>
      <c r="J28" s="30">
        <f t="shared" ref="J28:M28" si="6">SUM(J29:J31)</f>
        <v>484</v>
      </c>
      <c r="K28" s="31">
        <f t="shared" si="6"/>
        <v>50000</v>
      </c>
      <c r="L28" s="31">
        <f t="shared" si="6"/>
        <v>0</v>
      </c>
      <c r="M28" s="31">
        <f t="shared" si="6"/>
        <v>50000</v>
      </c>
      <c r="N28" s="30"/>
      <c r="O28" s="47"/>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row>
    <row r="29" spans="1:159" s="55" customFormat="1" ht="72.75" customHeight="1">
      <c r="A29" s="48">
        <v>2.1</v>
      </c>
      <c r="B29" s="49" t="s">
        <v>226</v>
      </c>
      <c r="C29" s="49" t="s">
        <v>126</v>
      </c>
      <c r="D29" s="50" t="s">
        <v>125</v>
      </c>
      <c r="E29" s="50"/>
      <c r="F29" s="48">
        <v>1</v>
      </c>
      <c r="G29" s="48"/>
      <c r="H29" s="48">
        <v>1</v>
      </c>
      <c r="I29" s="48"/>
      <c r="J29" s="51">
        <v>150</v>
      </c>
      <c r="K29" s="52">
        <v>50000</v>
      </c>
      <c r="L29" s="53">
        <v>0</v>
      </c>
      <c r="M29" s="53">
        <f>K29+L29</f>
        <v>50000</v>
      </c>
      <c r="N29" s="48"/>
      <c r="O29" s="49" t="s">
        <v>390</v>
      </c>
      <c r="P29" s="54"/>
      <c r="R29" s="56"/>
    </row>
    <row r="30" spans="1:159" ht="80.25" customHeight="1">
      <c r="A30" s="29">
        <f>0.1+A29</f>
        <v>2.2000000000000002</v>
      </c>
      <c r="B30" s="38" t="s">
        <v>301</v>
      </c>
      <c r="C30" s="39" t="s">
        <v>325</v>
      </c>
      <c r="D30" s="29" t="s">
        <v>0</v>
      </c>
      <c r="E30" s="40"/>
      <c r="F30" s="29"/>
      <c r="G30" s="29"/>
      <c r="H30" s="36">
        <v>1</v>
      </c>
      <c r="I30" s="30"/>
      <c r="J30" s="40">
        <v>190</v>
      </c>
      <c r="K30" s="31">
        <v>0</v>
      </c>
      <c r="L30" s="31">
        <v>0</v>
      </c>
      <c r="M30" s="31">
        <f>K30+L30</f>
        <v>0</v>
      </c>
      <c r="N30" s="30"/>
      <c r="O30" s="32"/>
    </row>
    <row r="31" spans="1:159" ht="63">
      <c r="A31" s="29">
        <f>0.1+A30</f>
        <v>2.3000000000000003</v>
      </c>
      <c r="B31" s="38" t="s">
        <v>302</v>
      </c>
      <c r="C31" s="39" t="s">
        <v>326</v>
      </c>
      <c r="D31" s="29" t="s">
        <v>0</v>
      </c>
      <c r="E31" s="40"/>
      <c r="F31" s="29"/>
      <c r="G31" s="29"/>
      <c r="H31" s="36">
        <v>1</v>
      </c>
      <c r="I31" s="30"/>
      <c r="J31" s="40">
        <v>144</v>
      </c>
      <c r="K31" s="31">
        <v>0</v>
      </c>
      <c r="L31" s="31">
        <v>0</v>
      </c>
      <c r="M31" s="31">
        <f>K31+L31</f>
        <v>0</v>
      </c>
      <c r="N31" s="30"/>
      <c r="O31" s="32"/>
    </row>
    <row r="32" spans="1:159">
      <c r="A32" s="27">
        <v>3</v>
      </c>
      <c r="B32" s="33" t="s">
        <v>336</v>
      </c>
      <c r="C32" s="27"/>
      <c r="D32" s="27" t="s">
        <v>0</v>
      </c>
      <c r="E32" s="27"/>
      <c r="F32" s="27"/>
      <c r="G32" s="27"/>
      <c r="H32" s="30">
        <f>SUM(H33:H38)</f>
        <v>6</v>
      </c>
      <c r="I32" s="30"/>
      <c r="J32" s="30">
        <f t="shared" ref="J32:L32" si="7">SUM(J33:J38)</f>
        <v>1005</v>
      </c>
      <c r="K32" s="30">
        <f t="shared" si="7"/>
        <v>0</v>
      </c>
      <c r="L32" s="30">
        <f t="shared" si="7"/>
        <v>0</v>
      </c>
      <c r="M32" s="30">
        <f>SUM(M33:M38)</f>
        <v>0</v>
      </c>
      <c r="N32" s="30"/>
      <c r="O32" s="47"/>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row>
    <row r="33" spans="1:159" ht="87.75" customHeight="1">
      <c r="A33" s="29">
        <v>3.1</v>
      </c>
      <c r="B33" s="38" t="s">
        <v>303</v>
      </c>
      <c r="C33" s="39" t="s">
        <v>327</v>
      </c>
      <c r="D33" s="29"/>
      <c r="E33" s="40"/>
      <c r="F33" s="29"/>
      <c r="G33" s="29"/>
      <c r="H33" s="36">
        <v>1</v>
      </c>
      <c r="I33" s="30"/>
      <c r="J33" s="40">
        <v>289</v>
      </c>
      <c r="K33" s="31">
        <v>0</v>
      </c>
      <c r="L33" s="31">
        <v>0</v>
      </c>
      <c r="M33" s="31">
        <f>K33+L33</f>
        <v>0</v>
      </c>
      <c r="N33" s="30"/>
      <c r="O33" s="32"/>
    </row>
    <row r="34" spans="1:159" ht="78" customHeight="1">
      <c r="A34" s="29">
        <f>0.1+A33</f>
        <v>3.2</v>
      </c>
      <c r="B34" s="38" t="s">
        <v>304</v>
      </c>
      <c r="C34" s="39" t="s">
        <v>328</v>
      </c>
      <c r="D34" s="29"/>
      <c r="E34" s="40"/>
      <c r="F34" s="29"/>
      <c r="G34" s="29"/>
      <c r="H34" s="36">
        <v>1</v>
      </c>
      <c r="I34" s="30"/>
      <c r="J34" s="40">
        <v>70</v>
      </c>
      <c r="K34" s="31">
        <v>0</v>
      </c>
      <c r="L34" s="31">
        <v>0</v>
      </c>
      <c r="M34" s="31">
        <f t="shared" ref="M34:M38" si="8">K34+L34</f>
        <v>0</v>
      </c>
      <c r="N34" s="30"/>
      <c r="O34" s="32"/>
    </row>
    <row r="35" spans="1:159" ht="86.25" customHeight="1">
      <c r="A35" s="29">
        <f t="shared" ref="A35:A38" si="9">0.1+A34</f>
        <v>3.3000000000000003</v>
      </c>
      <c r="B35" s="38" t="s">
        <v>305</v>
      </c>
      <c r="C35" s="39" t="s">
        <v>329</v>
      </c>
      <c r="D35" s="29"/>
      <c r="E35" s="40"/>
      <c r="F35" s="29"/>
      <c r="G35" s="29"/>
      <c r="H35" s="36">
        <v>1</v>
      </c>
      <c r="I35" s="30"/>
      <c r="J35" s="40">
        <v>152</v>
      </c>
      <c r="K35" s="31">
        <v>0</v>
      </c>
      <c r="L35" s="31">
        <v>0</v>
      </c>
      <c r="M35" s="31">
        <f t="shared" si="8"/>
        <v>0</v>
      </c>
      <c r="N35" s="30"/>
      <c r="O35" s="32"/>
    </row>
    <row r="36" spans="1:159" ht="84.75" customHeight="1">
      <c r="A36" s="29">
        <f t="shared" si="9"/>
        <v>3.4000000000000004</v>
      </c>
      <c r="B36" s="38" t="s">
        <v>306</v>
      </c>
      <c r="C36" s="39" t="s">
        <v>330</v>
      </c>
      <c r="D36" s="29"/>
      <c r="E36" s="40"/>
      <c r="F36" s="29"/>
      <c r="G36" s="29"/>
      <c r="H36" s="36">
        <v>1</v>
      </c>
      <c r="I36" s="30"/>
      <c r="J36" s="40">
        <v>105</v>
      </c>
      <c r="K36" s="31">
        <v>0</v>
      </c>
      <c r="L36" s="31">
        <v>0</v>
      </c>
      <c r="M36" s="31">
        <f t="shared" si="8"/>
        <v>0</v>
      </c>
      <c r="N36" s="30"/>
      <c r="O36" s="32"/>
    </row>
    <row r="37" spans="1:159" ht="75.75" customHeight="1">
      <c r="A37" s="29">
        <f t="shared" si="9"/>
        <v>3.5000000000000004</v>
      </c>
      <c r="B37" s="38" t="s">
        <v>307</v>
      </c>
      <c r="C37" s="39" t="s">
        <v>331</v>
      </c>
      <c r="D37" s="29"/>
      <c r="E37" s="40"/>
      <c r="F37" s="29"/>
      <c r="G37" s="29"/>
      <c r="H37" s="36">
        <v>1</v>
      </c>
      <c r="I37" s="30"/>
      <c r="J37" s="40">
        <v>279</v>
      </c>
      <c r="K37" s="31">
        <v>0</v>
      </c>
      <c r="L37" s="31">
        <v>0</v>
      </c>
      <c r="M37" s="31">
        <f t="shared" si="8"/>
        <v>0</v>
      </c>
      <c r="N37" s="30"/>
      <c r="O37" s="32"/>
    </row>
    <row r="38" spans="1:159" ht="63">
      <c r="A38" s="29">
        <f t="shared" si="9"/>
        <v>3.6000000000000005</v>
      </c>
      <c r="B38" s="38" t="s">
        <v>308</v>
      </c>
      <c r="C38" s="39" t="s">
        <v>332</v>
      </c>
      <c r="D38" s="29"/>
      <c r="E38" s="40"/>
      <c r="F38" s="29"/>
      <c r="G38" s="29"/>
      <c r="H38" s="36">
        <v>1</v>
      </c>
      <c r="I38" s="30"/>
      <c r="J38" s="40">
        <v>110</v>
      </c>
      <c r="K38" s="31">
        <v>0</v>
      </c>
      <c r="L38" s="31">
        <v>0</v>
      </c>
      <c r="M38" s="31">
        <f t="shared" si="8"/>
        <v>0</v>
      </c>
      <c r="N38" s="30"/>
      <c r="O38" s="32"/>
    </row>
    <row r="39" spans="1:159">
      <c r="A39" s="27">
        <v>4</v>
      </c>
      <c r="B39" s="57" t="s">
        <v>124</v>
      </c>
      <c r="C39" s="58"/>
      <c r="D39" s="59" t="s">
        <v>0</v>
      </c>
      <c r="E39" s="60"/>
      <c r="F39" s="29"/>
      <c r="G39" s="29"/>
      <c r="H39" s="30">
        <f>SUM(H40:H44)</f>
        <v>5</v>
      </c>
      <c r="I39" s="30"/>
      <c r="J39" s="30">
        <f>SUM(J40:J44)</f>
        <v>478</v>
      </c>
      <c r="K39" s="30">
        <f t="shared" ref="K39:M39" si="10">SUM(K40:K44)</f>
        <v>0</v>
      </c>
      <c r="L39" s="30">
        <f t="shared" si="10"/>
        <v>0</v>
      </c>
      <c r="M39" s="30">
        <f t="shared" si="10"/>
        <v>0</v>
      </c>
      <c r="N39" s="30"/>
      <c r="O39" s="61"/>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row>
    <row r="40" spans="1:159" s="66" customFormat="1" ht="31.5">
      <c r="A40" s="62">
        <v>4.0999999999999996</v>
      </c>
      <c r="B40" s="63" t="s">
        <v>268</v>
      </c>
      <c r="C40" s="49" t="s">
        <v>269</v>
      </c>
      <c r="D40" s="48"/>
      <c r="E40" s="48"/>
      <c r="F40" s="48">
        <v>1</v>
      </c>
      <c r="G40" s="20"/>
      <c r="H40" s="48">
        <v>1</v>
      </c>
      <c r="I40" s="48">
        <v>61</v>
      </c>
      <c r="J40" s="48">
        <v>61</v>
      </c>
      <c r="K40" s="64">
        <v>0</v>
      </c>
      <c r="L40" s="65">
        <v>0</v>
      </c>
      <c r="M40" s="65">
        <f>K40+L40</f>
        <v>0</v>
      </c>
      <c r="N40" s="48"/>
      <c r="O40" s="63" t="s">
        <v>112</v>
      </c>
    </row>
    <row r="41" spans="1:159" s="66" customFormat="1" ht="31.5">
      <c r="A41" s="62">
        <f>0.1+A40</f>
        <v>4.1999999999999993</v>
      </c>
      <c r="B41" s="49" t="s">
        <v>265</v>
      </c>
      <c r="C41" s="49" t="s">
        <v>270</v>
      </c>
      <c r="D41" s="67"/>
      <c r="E41" s="67"/>
      <c r="F41" s="67"/>
      <c r="G41" s="48"/>
      <c r="H41" s="48">
        <v>1</v>
      </c>
      <c r="I41" s="64"/>
      <c r="J41" s="48">
        <v>50</v>
      </c>
      <c r="K41" s="64">
        <v>0</v>
      </c>
      <c r="L41" s="63">
        <v>0</v>
      </c>
      <c r="M41" s="65">
        <f t="shared" ref="M41:M42" si="11">K41+L41</f>
        <v>0</v>
      </c>
      <c r="N41" s="68"/>
      <c r="O41" s="63" t="s">
        <v>112</v>
      </c>
    </row>
    <row r="42" spans="1:159" s="66" customFormat="1" ht="31.5">
      <c r="A42" s="62">
        <f>0.1+A41</f>
        <v>4.2999999999999989</v>
      </c>
      <c r="B42" s="49" t="s">
        <v>266</v>
      </c>
      <c r="C42" s="49" t="s">
        <v>267</v>
      </c>
      <c r="D42" s="67"/>
      <c r="E42" s="67"/>
      <c r="F42" s="67"/>
      <c r="G42" s="48"/>
      <c r="H42" s="48">
        <v>1</v>
      </c>
      <c r="I42" s="64"/>
      <c r="J42" s="48">
        <v>10</v>
      </c>
      <c r="K42" s="64">
        <v>0</v>
      </c>
      <c r="L42" s="63">
        <v>0</v>
      </c>
      <c r="M42" s="65">
        <f t="shared" si="11"/>
        <v>0</v>
      </c>
      <c r="N42" s="68"/>
      <c r="O42" s="63" t="s">
        <v>112</v>
      </c>
    </row>
    <row r="43" spans="1:159" ht="78.75">
      <c r="A43" s="62">
        <f t="shared" ref="A43:A44" si="12">0.1+A42</f>
        <v>4.3999999999999986</v>
      </c>
      <c r="B43" s="38" t="s">
        <v>299</v>
      </c>
      <c r="C43" s="39" t="s">
        <v>323</v>
      </c>
      <c r="D43" s="29"/>
      <c r="E43" s="40"/>
      <c r="F43" s="29"/>
      <c r="G43" s="29"/>
      <c r="H43" s="36">
        <v>1</v>
      </c>
      <c r="I43" s="30"/>
      <c r="J43" s="40">
        <v>346</v>
      </c>
      <c r="K43" s="64">
        <v>0</v>
      </c>
      <c r="L43" s="63">
        <v>0</v>
      </c>
      <c r="M43" s="65">
        <f t="shared" ref="M43:M44" si="13">K43+L43</f>
        <v>0</v>
      </c>
      <c r="N43" s="30"/>
      <c r="O43" s="63" t="s">
        <v>112</v>
      </c>
    </row>
    <row r="44" spans="1:159" ht="63">
      <c r="A44" s="62">
        <f t="shared" si="12"/>
        <v>4.4999999999999982</v>
      </c>
      <c r="B44" s="38" t="s">
        <v>300</v>
      </c>
      <c r="C44" s="39" t="s">
        <v>324</v>
      </c>
      <c r="D44" s="29"/>
      <c r="E44" s="40"/>
      <c r="F44" s="29"/>
      <c r="G44" s="29"/>
      <c r="H44" s="36">
        <v>1</v>
      </c>
      <c r="I44" s="30"/>
      <c r="J44" s="40">
        <v>11</v>
      </c>
      <c r="K44" s="64">
        <v>0</v>
      </c>
      <c r="L44" s="63">
        <v>0</v>
      </c>
      <c r="M44" s="65">
        <f t="shared" si="13"/>
        <v>0</v>
      </c>
      <c r="N44" s="30"/>
      <c r="O44" s="63" t="s">
        <v>112</v>
      </c>
    </row>
    <row r="45" spans="1:159">
      <c r="A45" s="27">
        <f>1+A39</f>
        <v>5</v>
      </c>
      <c r="B45" s="57" t="s">
        <v>123</v>
      </c>
      <c r="C45" s="58"/>
      <c r="D45" s="59" t="s">
        <v>0</v>
      </c>
      <c r="E45" s="60"/>
      <c r="F45" s="29"/>
      <c r="G45" s="29"/>
      <c r="H45" s="27">
        <f>SUM(H46:H52)</f>
        <v>7</v>
      </c>
      <c r="I45" s="27">
        <f t="shared" ref="I45:M45" si="14">SUM(I46:I52)</f>
        <v>354</v>
      </c>
      <c r="J45" s="27">
        <f t="shared" si="14"/>
        <v>354</v>
      </c>
      <c r="K45" s="27">
        <f t="shared" si="14"/>
        <v>0</v>
      </c>
      <c r="L45" s="31">
        <f t="shared" si="14"/>
        <v>272400</v>
      </c>
      <c r="M45" s="31">
        <f t="shared" si="14"/>
        <v>272400</v>
      </c>
      <c r="N45" s="60"/>
      <c r="O45" s="61"/>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row>
    <row r="46" spans="1:159" s="71" customFormat="1" ht="37.5" customHeight="1">
      <c r="A46" s="62">
        <v>5.0999999999999996</v>
      </c>
      <c r="B46" s="63" t="s">
        <v>227</v>
      </c>
      <c r="C46" s="48" t="s">
        <v>228</v>
      </c>
      <c r="D46" s="48"/>
      <c r="E46" s="48"/>
      <c r="F46" s="48">
        <v>5</v>
      </c>
      <c r="G46" s="48"/>
      <c r="H46" s="48">
        <v>1</v>
      </c>
      <c r="I46" s="48">
        <v>1</v>
      </c>
      <c r="J46" s="48">
        <v>1</v>
      </c>
      <c r="K46" s="63">
        <v>0</v>
      </c>
      <c r="L46" s="69">
        <v>0</v>
      </c>
      <c r="M46" s="70">
        <f>L46+K46</f>
        <v>0</v>
      </c>
      <c r="N46" s="48"/>
      <c r="O46" s="48" t="s">
        <v>2</v>
      </c>
    </row>
    <row r="47" spans="1:159" s="71" customFormat="1" ht="31.5">
      <c r="A47" s="62">
        <f>0.1+A46</f>
        <v>5.1999999999999993</v>
      </c>
      <c r="B47" s="63" t="s">
        <v>362</v>
      </c>
      <c r="C47" s="48" t="s">
        <v>121</v>
      </c>
      <c r="D47" s="48"/>
      <c r="E47" s="48"/>
      <c r="F47" s="48">
        <v>4</v>
      </c>
      <c r="G47" s="48"/>
      <c r="H47" s="48">
        <v>1</v>
      </c>
      <c r="I47" s="48">
        <v>56</v>
      </c>
      <c r="J47" s="48">
        <v>56</v>
      </c>
      <c r="K47" s="48">
        <v>0</v>
      </c>
      <c r="L47" s="69">
        <f>2*900*2+6000</f>
        <v>9600</v>
      </c>
      <c r="M47" s="70">
        <f>L47+K47</f>
        <v>9600</v>
      </c>
      <c r="N47" s="48">
        <v>7</v>
      </c>
      <c r="O47" s="48" t="s">
        <v>120</v>
      </c>
    </row>
    <row r="48" spans="1:159" s="71" customFormat="1" ht="31.5">
      <c r="A48" s="62">
        <f t="shared" ref="A48:A51" si="15">0.1+A47</f>
        <v>5.2999999999999989</v>
      </c>
      <c r="B48" s="63" t="s">
        <v>363</v>
      </c>
      <c r="C48" s="48" t="s">
        <v>121</v>
      </c>
      <c r="D48" s="48"/>
      <c r="E48" s="48"/>
      <c r="F48" s="48"/>
      <c r="G48" s="48"/>
      <c r="H48" s="48">
        <v>1</v>
      </c>
      <c r="I48" s="48">
        <v>9</v>
      </c>
      <c r="J48" s="48">
        <v>9</v>
      </c>
      <c r="K48" s="48">
        <v>0</v>
      </c>
      <c r="L48" s="69">
        <f>2*900*4+16000</f>
        <v>23200</v>
      </c>
      <c r="M48" s="70">
        <f>L48+K48</f>
        <v>23200</v>
      </c>
      <c r="N48" s="48"/>
      <c r="O48" s="48"/>
    </row>
    <row r="49" spans="1:159" s="71" customFormat="1" ht="15.75">
      <c r="A49" s="62">
        <f t="shared" si="15"/>
        <v>5.3999999999999986</v>
      </c>
      <c r="B49" s="63" t="s">
        <v>276</v>
      </c>
      <c r="C49" s="48" t="s">
        <v>121</v>
      </c>
      <c r="D49" s="48"/>
      <c r="E49" s="48"/>
      <c r="F49" s="48">
        <v>4</v>
      </c>
      <c r="G49" s="48"/>
      <c r="H49" s="48">
        <v>1</v>
      </c>
      <c r="I49" s="48">
        <v>60</v>
      </c>
      <c r="J49" s="48">
        <v>60</v>
      </c>
      <c r="K49" s="48">
        <v>0</v>
      </c>
      <c r="L49" s="70">
        <f>42*900*3+9*1000+19*2000+14*4000</f>
        <v>216400</v>
      </c>
      <c r="M49" s="70">
        <f>L49+K49</f>
        <v>216400</v>
      </c>
      <c r="N49" s="48">
        <v>7</v>
      </c>
      <c r="O49" s="48" t="s">
        <v>120</v>
      </c>
    </row>
    <row r="50" spans="1:159" s="71" customFormat="1" ht="31.5">
      <c r="A50" s="62">
        <f t="shared" si="15"/>
        <v>5.4999999999999982</v>
      </c>
      <c r="B50" s="63" t="s">
        <v>261</v>
      </c>
      <c r="C50" s="48" t="s">
        <v>122</v>
      </c>
      <c r="D50" s="48"/>
      <c r="E50" s="48"/>
      <c r="F50" s="48">
        <v>2</v>
      </c>
      <c r="G50" s="48"/>
      <c r="H50" s="48">
        <v>1</v>
      </c>
      <c r="I50" s="48">
        <v>220</v>
      </c>
      <c r="J50" s="48">
        <v>220</v>
      </c>
      <c r="K50" s="48">
        <v>0</v>
      </c>
      <c r="L50" s="69">
        <v>0</v>
      </c>
      <c r="M50" s="70">
        <v>0</v>
      </c>
      <c r="N50" s="48"/>
      <c r="O50" s="48" t="s">
        <v>2</v>
      </c>
    </row>
    <row r="51" spans="1:159" s="71" customFormat="1" ht="31.5">
      <c r="A51" s="62">
        <f t="shared" si="15"/>
        <v>5.5999999999999979</v>
      </c>
      <c r="B51" s="63" t="s">
        <v>229</v>
      </c>
      <c r="C51" s="48" t="s">
        <v>230</v>
      </c>
      <c r="D51" s="48"/>
      <c r="E51" s="48"/>
      <c r="F51" s="48">
        <v>3</v>
      </c>
      <c r="G51" s="48"/>
      <c r="H51" s="48">
        <v>1</v>
      </c>
      <c r="I51" s="48">
        <v>4</v>
      </c>
      <c r="J51" s="48">
        <v>4</v>
      </c>
      <c r="K51" s="48">
        <v>0</v>
      </c>
      <c r="L51" s="69">
        <v>0</v>
      </c>
      <c r="M51" s="70">
        <v>0</v>
      </c>
      <c r="N51" s="48"/>
      <c r="O51" s="48" t="s">
        <v>2</v>
      </c>
    </row>
    <row r="52" spans="1:159" s="71" customFormat="1" ht="15.75">
      <c r="A52" s="62">
        <f>0.1+A51</f>
        <v>5.6999999999999975</v>
      </c>
      <c r="B52" s="63" t="s">
        <v>347</v>
      </c>
      <c r="C52" s="48"/>
      <c r="D52" s="63"/>
      <c r="E52" s="48"/>
      <c r="F52" s="48"/>
      <c r="G52" s="48"/>
      <c r="H52" s="48">
        <v>1</v>
      </c>
      <c r="I52" s="48">
        <v>4</v>
      </c>
      <c r="J52" s="48">
        <v>4</v>
      </c>
      <c r="K52" s="48">
        <v>0</v>
      </c>
      <c r="L52" s="70">
        <f>2*900*4+16000</f>
        <v>23200</v>
      </c>
      <c r="M52" s="70">
        <f>K52+L52</f>
        <v>23200</v>
      </c>
      <c r="N52" s="48"/>
      <c r="O52" s="48" t="s">
        <v>120</v>
      </c>
    </row>
    <row r="53" spans="1:159">
      <c r="A53" s="27">
        <f>1+A45</f>
        <v>6</v>
      </c>
      <c r="B53" s="33" t="s">
        <v>119</v>
      </c>
      <c r="C53" s="34"/>
      <c r="D53" s="27"/>
      <c r="E53" s="27"/>
      <c r="F53" s="27"/>
      <c r="G53" s="27"/>
      <c r="H53" s="27">
        <f>SUM(H54:H55)</f>
        <v>2</v>
      </c>
      <c r="I53" s="27"/>
      <c r="J53" s="41">
        <f>SUM(J54:J55)</f>
        <v>13</v>
      </c>
      <c r="K53" s="31">
        <f>SUM(K54:K55)</f>
        <v>23500</v>
      </c>
      <c r="L53" s="31">
        <f>SUM(L54:L55)</f>
        <v>6500</v>
      </c>
      <c r="M53" s="31">
        <f>SUM(M54:M55)</f>
        <v>30000</v>
      </c>
      <c r="N53" s="60"/>
      <c r="O53" s="47"/>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row>
    <row r="54" spans="1:159" ht="31.5">
      <c r="A54" s="29">
        <f>0.1+A53</f>
        <v>6.1</v>
      </c>
      <c r="B54" s="72" t="s">
        <v>118</v>
      </c>
      <c r="C54" s="29" t="s">
        <v>116</v>
      </c>
      <c r="D54" s="29" t="s">
        <v>114</v>
      </c>
      <c r="E54" s="29"/>
      <c r="F54" s="29">
        <v>5</v>
      </c>
      <c r="G54" s="29"/>
      <c r="H54" s="29">
        <v>1</v>
      </c>
      <c r="I54" s="29">
        <v>4</v>
      </c>
      <c r="J54" s="73">
        <f>H54*I54</f>
        <v>4</v>
      </c>
      <c r="K54" s="74">
        <f>2500*J54</f>
        <v>10000</v>
      </c>
      <c r="L54" s="74">
        <f>F54*900+2000</f>
        <v>6500</v>
      </c>
      <c r="M54" s="45">
        <f>K54+L54</f>
        <v>16500</v>
      </c>
      <c r="N54" s="36">
        <v>4</v>
      </c>
      <c r="O54" s="61" t="s">
        <v>231</v>
      </c>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row>
    <row r="55" spans="1:159" ht="31.5">
      <c r="A55" s="29">
        <f>0.1+A54</f>
        <v>6.1999999999999993</v>
      </c>
      <c r="B55" s="72" t="s">
        <v>117</v>
      </c>
      <c r="C55" s="29" t="s">
        <v>116</v>
      </c>
      <c r="D55" s="29" t="s">
        <v>114</v>
      </c>
      <c r="E55" s="29"/>
      <c r="F55" s="29">
        <v>2</v>
      </c>
      <c r="G55" s="29"/>
      <c r="H55" s="29">
        <v>1</v>
      </c>
      <c r="I55" s="29">
        <v>9</v>
      </c>
      <c r="J55" s="73">
        <f>H55*I55</f>
        <v>9</v>
      </c>
      <c r="K55" s="45">
        <f>1500*J55</f>
        <v>13500</v>
      </c>
      <c r="L55" s="45">
        <v>0</v>
      </c>
      <c r="M55" s="45">
        <f>K55+L55</f>
        <v>13500</v>
      </c>
      <c r="N55" s="36">
        <v>4</v>
      </c>
      <c r="O55" s="61" t="s">
        <v>231</v>
      </c>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row>
    <row r="56" spans="1:159" ht="31.5">
      <c r="A56" s="27">
        <f>1+A53</f>
        <v>7</v>
      </c>
      <c r="B56" s="33" t="s">
        <v>115</v>
      </c>
      <c r="C56" s="29" t="s">
        <v>7</v>
      </c>
      <c r="D56" s="29" t="s">
        <v>114</v>
      </c>
      <c r="E56" s="29"/>
      <c r="F56" s="29">
        <v>1</v>
      </c>
      <c r="G56" s="29"/>
      <c r="H56" s="27">
        <v>16</v>
      </c>
      <c r="I56" s="27"/>
      <c r="J56" s="41">
        <v>612</v>
      </c>
      <c r="K56" s="31">
        <v>0</v>
      </c>
      <c r="L56" s="31"/>
      <c r="M56" s="31">
        <v>0</v>
      </c>
      <c r="N56" s="36">
        <v>8</v>
      </c>
      <c r="O56" s="75" t="s">
        <v>101</v>
      </c>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row>
    <row r="57" spans="1:159" ht="15.75">
      <c r="A57" s="27">
        <f>1+A56</f>
        <v>8</v>
      </c>
      <c r="B57" s="33" t="s">
        <v>113</v>
      </c>
      <c r="C57" s="29"/>
      <c r="D57" s="29"/>
      <c r="E57" s="29"/>
      <c r="F57" s="29"/>
      <c r="G57" s="29"/>
      <c r="H57" s="35">
        <f>SUM(H58:H60)</f>
        <v>10</v>
      </c>
      <c r="I57" s="35"/>
      <c r="J57" s="35">
        <f t="shared" ref="J57:M57" si="16">SUM(J58:J60)</f>
        <v>207</v>
      </c>
      <c r="K57" s="35">
        <f t="shared" si="16"/>
        <v>304000</v>
      </c>
      <c r="L57" s="35">
        <f t="shared" si="16"/>
        <v>0</v>
      </c>
      <c r="M57" s="35">
        <f t="shared" si="16"/>
        <v>304000</v>
      </c>
      <c r="N57" s="60"/>
      <c r="O57" s="61"/>
    </row>
    <row r="58" spans="1:159" s="81" customFormat="1" ht="72.75" customHeight="1">
      <c r="A58" s="62">
        <v>8.1</v>
      </c>
      <c r="B58" s="76" t="s">
        <v>277</v>
      </c>
      <c r="C58" s="48" t="s">
        <v>248</v>
      </c>
      <c r="D58" s="29" t="s">
        <v>250</v>
      </c>
      <c r="E58" s="29"/>
      <c r="F58" s="29"/>
      <c r="G58" s="77"/>
      <c r="H58" s="62">
        <v>8</v>
      </c>
      <c r="I58" s="78"/>
      <c r="J58" s="62">
        <v>160</v>
      </c>
      <c r="K58" s="79">
        <f>J58*1900</f>
        <v>304000</v>
      </c>
      <c r="L58" s="70">
        <v>0</v>
      </c>
      <c r="M58" s="79">
        <f>K58+L58</f>
        <v>304000</v>
      </c>
      <c r="N58" s="80"/>
      <c r="O58" s="78" t="s">
        <v>249</v>
      </c>
    </row>
    <row r="59" spans="1:159" s="81" customFormat="1" ht="58.5" customHeight="1">
      <c r="A59" s="62">
        <f>0.1+A58</f>
        <v>8.1999999999999993</v>
      </c>
      <c r="B59" s="76"/>
      <c r="C59" s="48" t="s">
        <v>256</v>
      </c>
      <c r="D59" s="29" t="s">
        <v>3</v>
      </c>
      <c r="E59" s="29"/>
      <c r="F59" s="29"/>
      <c r="G59" s="77"/>
      <c r="H59" s="62">
        <v>1</v>
      </c>
      <c r="I59" s="78"/>
      <c r="J59" s="62">
        <v>35</v>
      </c>
      <c r="K59" s="82">
        <v>0</v>
      </c>
      <c r="L59" s="70">
        <v>0</v>
      </c>
      <c r="M59" s="79">
        <f t="shared" ref="M59:M62" si="17">K59+L59</f>
        <v>0</v>
      </c>
      <c r="N59" s="68"/>
      <c r="O59" s="75" t="s">
        <v>101</v>
      </c>
    </row>
    <row r="60" spans="1:159" s="81" customFormat="1" ht="36.75" customHeight="1">
      <c r="A60" s="62">
        <f>0.1+A59</f>
        <v>8.2999999999999989</v>
      </c>
      <c r="B60" s="76"/>
      <c r="C60" s="48" t="s">
        <v>257</v>
      </c>
      <c r="D60" s="29" t="s">
        <v>3</v>
      </c>
      <c r="E60" s="29"/>
      <c r="F60" s="29"/>
      <c r="G60" s="77"/>
      <c r="H60" s="62">
        <v>1</v>
      </c>
      <c r="I60" s="78"/>
      <c r="J60" s="62">
        <v>12</v>
      </c>
      <c r="K60" s="82">
        <v>0</v>
      </c>
      <c r="L60" s="70">
        <v>0</v>
      </c>
      <c r="M60" s="79">
        <f t="shared" si="17"/>
        <v>0</v>
      </c>
      <c r="N60" s="68"/>
      <c r="O60" s="75" t="s">
        <v>101</v>
      </c>
    </row>
    <row r="61" spans="1:159" s="81" customFormat="1" ht="15.75">
      <c r="A61" s="83">
        <v>9</v>
      </c>
      <c r="B61" s="84" t="s">
        <v>262</v>
      </c>
      <c r="C61" s="48"/>
      <c r="D61" s="29"/>
      <c r="E61" s="29"/>
      <c r="F61" s="29"/>
      <c r="G61" s="77"/>
      <c r="H61" s="35">
        <f>SUM(H62:H64)</f>
        <v>5</v>
      </c>
      <c r="I61" s="78"/>
      <c r="J61" s="62">
        <f>J62</f>
        <v>23</v>
      </c>
      <c r="K61" s="62">
        <f t="shared" ref="K61:M61" si="18">K62</f>
        <v>0</v>
      </c>
      <c r="L61" s="62">
        <f t="shared" si="18"/>
        <v>0</v>
      </c>
      <c r="M61" s="62">
        <f t="shared" si="18"/>
        <v>0</v>
      </c>
      <c r="N61" s="68"/>
      <c r="O61" s="85"/>
    </row>
    <row r="62" spans="1:159" s="81" customFormat="1" ht="31.5">
      <c r="A62" s="62">
        <v>9.1</v>
      </c>
      <c r="B62" s="86" t="s">
        <v>264</v>
      </c>
      <c r="C62" s="48" t="s">
        <v>263</v>
      </c>
      <c r="D62" s="29" t="s">
        <v>3</v>
      </c>
      <c r="E62" s="29"/>
      <c r="F62" s="29"/>
      <c r="G62" s="77"/>
      <c r="H62" s="62">
        <v>1</v>
      </c>
      <c r="I62" s="78"/>
      <c r="J62" s="62">
        <v>23</v>
      </c>
      <c r="K62" s="82">
        <v>0</v>
      </c>
      <c r="L62" s="70">
        <v>0</v>
      </c>
      <c r="M62" s="79">
        <f t="shared" si="17"/>
        <v>0</v>
      </c>
      <c r="N62" s="68"/>
      <c r="O62" s="75" t="s">
        <v>101</v>
      </c>
    </row>
    <row r="63" spans="1:159">
      <c r="A63" s="27">
        <v>10</v>
      </c>
      <c r="B63" s="33" t="s">
        <v>356</v>
      </c>
      <c r="C63" s="27"/>
      <c r="D63" s="29"/>
      <c r="E63" s="29"/>
      <c r="F63" s="36">
        <f>SUM(F64:F66)</f>
        <v>10</v>
      </c>
      <c r="G63" s="36"/>
      <c r="H63" s="30">
        <f>SUM(H64:H66)</f>
        <v>3</v>
      </c>
      <c r="I63" s="30"/>
      <c r="J63" s="87">
        <f>SUM(J64:J66)</f>
        <v>68</v>
      </c>
      <c r="K63" s="31">
        <f>SUM(K64:K66)</f>
        <v>69000</v>
      </c>
      <c r="L63" s="31">
        <f>SUM(L64:L66)</f>
        <v>0</v>
      </c>
      <c r="M63" s="31">
        <f>SUM(M64:M66)</f>
        <v>69000</v>
      </c>
      <c r="N63" s="59"/>
      <c r="O63" s="85"/>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row>
    <row r="64" spans="1:159">
      <c r="A64" s="29">
        <v>10.1</v>
      </c>
      <c r="B64" s="88" t="s">
        <v>111</v>
      </c>
      <c r="C64" s="29" t="s">
        <v>110</v>
      </c>
      <c r="D64" s="89" t="s">
        <v>109</v>
      </c>
      <c r="E64" s="29"/>
      <c r="F64" s="29">
        <v>5</v>
      </c>
      <c r="G64" s="29"/>
      <c r="H64" s="29">
        <v>1</v>
      </c>
      <c r="I64" s="29"/>
      <c r="J64" s="90">
        <v>1</v>
      </c>
      <c r="K64" s="45">
        <v>2000</v>
      </c>
      <c r="L64" s="45">
        <v>0</v>
      </c>
      <c r="M64" s="45">
        <f>K64+L64</f>
        <v>2000</v>
      </c>
      <c r="N64" s="60"/>
      <c r="O64" s="75" t="s">
        <v>101</v>
      </c>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row>
    <row r="65" spans="1:159">
      <c r="A65" s="29">
        <f>0.1+A64</f>
        <v>10.199999999999999</v>
      </c>
      <c r="B65" s="88"/>
      <c r="C65" s="29" t="s">
        <v>357</v>
      </c>
      <c r="D65" s="89"/>
      <c r="E65" s="29"/>
      <c r="F65" s="29"/>
      <c r="G65" s="29"/>
      <c r="H65" s="29">
        <v>1</v>
      </c>
      <c r="I65" s="29"/>
      <c r="J65" s="90">
        <v>40</v>
      </c>
      <c r="K65" s="45">
        <v>24000</v>
      </c>
      <c r="L65" s="45">
        <v>0</v>
      </c>
      <c r="M65" s="45">
        <f t="shared" ref="M65" si="19">K65+L65</f>
        <v>24000</v>
      </c>
      <c r="N65" s="60" t="s">
        <v>358</v>
      </c>
      <c r="O65" s="75" t="s">
        <v>359</v>
      </c>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row>
    <row r="66" spans="1:159" ht="54.75" customHeight="1">
      <c r="A66" s="29">
        <f>0.1+A65</f>
        <v>10.299999999999999</v>
      </c>
      <c r="B66" s="72" t="s">
        <v>108</v>
      </c>
      <c r="C66" s="29" t="s">
        <v>107</v>
      </c>
      <c r="D66" s="29" t="s">
        <v>106</v>
      </c>
      <c r="E66" s="29"/>
      <c r="F66" s="29">
        <v>5</v>
      </c>
      <c r="G66" s="29"/>
      <c r="H66" s="29">
        <v>1</v>
      </c>
      <c r="I66" s="29">
        <v>27</v>
      </c>
      <c r="J66" s="73">
        <f>H66*I66</f>
        <v>27</v>
      </c>
      <c r="K66" s="45">
        <v>43000</v>
      </c>
      <c r="L66" s="45">
        <v>0</v>
      </c>
      <c r="M66" s="45">
        <f>K66+L66</f>
        <v>43000</v>
      </c>
      <c r="N66" s="36" t="s">
        <v>360</v>
      </c>
      <c r="O66" s="75" t="s">
        <v>361</v>
      </c>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row>
    <row r="67" spans="1:159" ht="31.5">
      <c r="A67" s="27">
        <f>1+A63</f>
        <v>11</v>
      </c>
      <c r="B67" s="33" t="s">
        <v>105</v>
      </c>
      <c r="C67" s="91" t="s">
        <v>104</v>
      </c>
      <c r="D67" s="29" t="s">
        <v>103</v>
      </c>
      <c r="E67" s="29"/>
      <c r="F67" s="29" t="s">
        <v>102</v>
      </c>
      <c r="G67" s="29"/>
      <c r="H67" s="30">
        <v>0</v>
      </c>
      <c r="I67" s="30"/>
      <c r="J67" s="30">
        <v>0</v>
      </c>
      <c r="K67" s="31">
        <v>0</v>
      </c>
      <c r="L67" s="31">
        <v>0</v>
      </c>
      <c r="M67" s="31">
        <f>K67+L67</f>
        <v>0</v>
      </c>
      <c r="N67" s="36"/>
      <c r="O67" s="75" t="s">
        <v>101</v>
      </c>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row>
    <row r="68" spans="1:159" ht="94.5">
      <c r="A68" s="27">
        <f>1+A67</f>
        <v>12</v>
      </c>
      <c r="B68" s="33" t="s">
        <v>396</v>
      </c>
      <c r="C68" s="27" t="s">
        <v>398</v>
      </c>
      <c r="D68" s="27" t="s">
        <v>0</v>
      </c>
      <c r="E68" s="29"/>
      <c r="F68" s="29"/>
      <c r="G68" s="29"/>
      <c r="H68" s="30"/>
      <c r="I68" s="30"/>
      <c r="J68" s="30">
        <v>12</v>
      </c>
      <c r="K68" s="31"/>
      <c r="L68" s="31">
        <v>140000</v>
      </c>
      <c r="M68" s="31">
        <f>K68+L68</f>
        <v>140000</v>
      </c>
      <c r="N68" s="36"/>
      <c r="O68" s="75" t="s">
        <v>397</v>
      </c>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row>
    <row r="69" spans="1:159">
      <c r="A69" s="27" t="s">
        <v>100</v>
      </c>
      <c r="B69" s="33" t="s">
        <v>285</v>
      </c>
      <c r="C69" s="91"/>
      <c r="D69" s="29"/>
      <c r="E69" s="29"/>
      <c r="F69" s="29"/>
      <c r="G69" s="29"/>
      <c r="H69" s="30">
        <f>H70+H116+H130</f>
        <v>95</v>
      </c>
      <c r="I69" s="30"/>
      <c r="J69" s="31">
        <f>J70+J116+J130</f>
        <v>679</v>
      </c>
      <c r="K69" s="31">
        <f>K70+K116+K130</f>
        <v>1904533.3333333333</v>
      </c>
      <c r="L69" s="31">
        <f>L70+L116+L130</f>
        <v>1356200</v>
      </c>
      <c r="M69" s="31">
        <f>M70+M116+M130</f>
        <v>3260733.3333333335</v>
      </c>
      <c r="N69" s="36"/>
      <c r="O69" s="37"/>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row>
    <row r="70" spans="1:159">
      <c r="A70" s="27" t="s">
        <v>99</v>
      </c>
      <c r="B70" s="33" t="s">
        <v>98</v>
      </c>
      <c r="C70" s="27"/>
      <c r="D70" s="29"/>
      <c r="E70" s="29"/>
      <c r="F70" s="36"/>
      <c r="G70" s="36"/>
      <c r="H70" s="30">
        <f>H71+H75+H94+H99+H101+H114</f>
        <v>42</v>
      </c>
      <c r="I70" s="30"/>
      <c r="J70" s="31">
        <f>J71+J75+J94+J99+J101+J114</f>
        <v>324</v>
      </c>
      <c r="K70" s="31">
        <f>K71+K75+K94+K99+K101+K114</f>
        <v>1281600</v>
      </c>
      <c r="L70" s="31">
        <f>L71+L75+L94+L99+L101+L114</f>
        <v>1356200</v>
      </c>
      <c r="M70" s="31">
        <f>M71+M75+M94+M99+M101+M114</f>
        <v>2637800</v>
      </c>
      <c r="N70" s="59"/>
      <c r="O70" s="37"/>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row>
    <row r="71" spans="1:159" s="94" customFormat="1" ht="31.5">
      <c r="A71" s="83">
        <v>1</v>
      </c>
      <c r="B71" s="92" t="s">
        <v>154</v>
      </c>
      <c r="C71" s="50"/>
      <c r="D71" s="50"/>
      <c r="E71" s="50"/>
      <c r="F71" s="48"/>
      <c r="G71" s="48"/>
      <c r="H71" s="20">
        <f>SUM(H72:H74)</f>
        <v>2</v>
      </c>
      <c r="I71" s="20">
        <f t="shared" ref="I71:M71" si="20">SUM(I72:I74)</f>
        <v>10</v>
      </c>
      <c r="J71" s="20">
        <f t="shared" si="20"/>
        <v>13</v>
      </c>
      <c r="K71" s="31">
        <f t="shared" si="20"/>
        <v>396200</v>
      </c>
      <c r="L71" s="31">
        <f t="shared" si="20"/>
        <v>53000</v>
      </c>
      <c r="M71" s="31">
        <f t="shared" si="20"/>
        <v>449200</v>
      </c>
      <c r="N71" s="20"/>
      <c r="O71" s="48"/>
      <c r="P71" s="93"/>
    </row>
    <row r="72" spans="1:159" s="94" customFormat="1" ht="31.5">
      <c r="A72" s="62">
        <v>1.1000000000000001</v>
      </c>
      <c r="B72" s="95" t="s">
        <v>97</v>
      </c>
      <c r="C72" s="49" t="s">
        <v>52</v>
      </c>
      <c r="D72" s="48" t="s">
        <v>47</v>
      </c>
      <c r="E72" s="48"/>
      <c r="F72" s="48">
        <v>130</v>
      </c>
      <c r="G72" s="48">
        <v>70</v>
      </c>
      <c r="H72" s="48">
        <v>1</v>
      </c>
      <c r="I72" s="48">
        <v>5</v>
      </c>
      <c r="J72" s="51">
        <v>5</v>
      </c>
      <c r="K72" s="96">
        <f>(F72*8*150*1/3)+(80*8*75)+(G72*8*40*J72)</f>
        <v>212000</v>
      </c>
      <c r="L72" s="53">
        <v>0</v>
      </c>
      <c r="M72" s="53">
        <f>K72+L72</f>
        <v>212000</v>
      </c>
      <c r="N72" s="48"/>
      <c r="O72" s="49" t="s">
        <v>155</v>
      </c>
      <c r="P72" s="93"/>
    </row>
    <row r="73" spans="1:159" s="94" customFormat="1" ht="30" customHeight="1">
      <c r="A73" s="62">
        <f>0.1+A72</f>
        <v>1.2000000000000002</v>
      </c>
      <c r="B73" s="95" t="s">
        <v>96</v>
      </c>
      <c r="C73" s="49" t="s">
        <v>95</v>
      </c>
      <c r="D73" s="48" t="s">
        <v>47</v>
      </c>
      <c r="E73" s="48"/>
      <c r="F73" s="48">
        <v>75</v>
      </c>
      <c r="G73" s="48">
        <v>45</v>
      </c>
      <c r="H73" s="48">
        <v>1</v>
      </c>
      <c r="I73" s="48">
        <v>5</v>
      </c>
      <c r="J73" s="51">
        <v>5</v>
      </c>
      <c r="K73" s="96">
        <f>(F73*8*150*1/3)+(25*8*75)+(G73*8*40*J73)</f>
        <v>117000</v>
      </c>
      <c r="L73" s="53">
        <f>(25*900*2)+2*4000</f>
        <v>53000</v>
      </c>
      <c r="M73" s="53">
        <f>K73+L73</f>
        <v>170000</v>
      </c>
      <c r="N73" s="48"/>
      <c r="O73" s="49"/>
      <c r="P73" s="93"/>
    </row>
    <row r="74" spans="1:159" s="94" customFormat="1" ht="30" customHeight="1">
      <c r="A74" s="62">
        <f>0.1+A73</f>
        <v>1.3000000000000003</v>
      </c>
      <c r="B74" s="95" t="s">
        <v>375</v>
      </c>
      <c r="C74" s="49" t="s">
        <v>374</v>
      </c>
      <c r="D74" s="48" t="s">
        <v>373</v>
      </c>
      <c r="E74" s="48"/>
      <c r="F74" s="48">
        <v>0</v>
      </c>
      <c r="G74" s="48">
        <v>70</v>
      </c>
      <c r="H74" s="48"/>
      <c r="I74" s="48"/>
      <c r="J74" s="51">
        <v>3</v>
      </c>
      <c r="K74" s="96">
        <f>G74*8*40*3</f>
        <v>67200</v>
      </c>
      <c r="L74" s="53">
        <v>0</v>
      </c>
      <c r="M74" s="53">
        <f>K74+L74</f>
        <v>67200</v>
      </c>
      <c r="N74" s="48"/>
      <c r="O74" s="49" t="s">
        <v>376</v>
      </c>
      <c r="P74" s="93"/>
    </row>
    <row r="75" spans="1:159" s="94" customFormat="1" ht="19.5" customHeight="1">
      <c r="A75" s="83">
        <v>2</v>
      </c>
      <c r="B75" s="97" t="s">
        <v>156</v>
      </c>
      <c r="C75" s="92"/>
      <c r="D75" s="20"/>
      <c r="E75" s="20"/>
      <c r="F75" s="48"/>
      <c r="G75" s="48"/>
      <c r="H75" s="20">
        <f>SUM(H76:H93)</f>
        <v>13</v>
      </c>
      <c r="I75" s="20">
        <f>SUM(I76:I93)</f>
        <v>282</v>
      </c>
      <c r="J75" s="20">
        <f>SUM(J76:J93)</f>
        <v>282</v>
      </c>
      <c r="K75" s="31">
        <f t="shared" ref="K75:M75" si="21">SUM(K76:K93)</f>
        <v>337200</v>
      </c>
      <c r="L75" s="98">
        <f t="shared" si="21"/>
        <v>656400</v>
      </c>
      <c r="M75" s="98">
        <f t="shared" si="21"/>
        <v>993600</v>
      </c>
      <c r="N75" s="20"/>
      <c r="O75" s="49"/>
      <c r="P75" s="93"/>
    </row>
    <row r="76" spans="1:159" s="94" customFormat="1" ht="37.5" customHeight="1">
      <c r="A76" s="62">
        <v>2.1</v>
      </c>
      <c r="B76" s="95" t="s">
        <v>94</v>
      </c>
      <c r="C76" s="49" t="s">
        <v>93</v>
      </c>
      <c r="D76" s="48" t="s">
        <v>54</v>
      </c>
      <c r="E76" s="48"/>
      <c r="F76" s="48">
        <v>5</v>
      </c>
      <c r="G76" s="48"/>
      <c r="H76" s="48">
        <v>1</v>
      </c>
      <c r="I76" s="48">
        <v>18</v>
      </c>
      <c r="J76" s="51">
        <v>18</v>
      </c>
      <c r="K76" s="96">
        <f>(3*8*150*2+2*8*150*4+4*75*4)</f>
        <v>18000</v>
      </c>
      <c r="L76" s="53">
        <f>J76*1*900+J76*4000</f>
        <v>88200</v>
      </c>
      <c r="M76" s="53">
        <f>K76+L76</f>
        <v>106200</v>
      </c>
      <c r="N76" s="48"/>
      <c r="O76" s="49" t="s">
        <v>247</v>
      </c>
      <c r="P76" s="93"/>
    </row>
    <row r="77" spans="1:159" s="94" customFormat="1" ht="54.75" customHeight="1">
      <c r="A77" s="62">
        <v>2.2000000000000002</v>
      </c>
      <c r="B77" s="95" t="s">
        <v>92</v>
      </c>
      <c r="C77" s="49" t="s">
        <v>91</v>
      </c>
      <c r="D77" s="48" t="s">
        <v>54</v>
      </c>
      <c r="E77" s="48"/>
      <c r="F77" s="48">
        <v>5</v>
      </c>
      <c r="G77" s="48"/>
      <c r="H77" s="48">
        <v>1</v>
      </c>
      <c r="I77" s="48">
        <v>22</v>
      </c>
      <c r="J77" s="51">
        <v>22</v>
      </c>
      <c r="K77" s="96">
        <f>(3*8*150*2+2*8*150*4+4*75*4)</f>
        <v>18000</v>
      </c>
      <c r="L77" s="53">
        <v>0</v>
      </c>
      <c r="M77" s="53">
        <f t="shared" ref="M77:M93" si="22">K77+L77</f>
        <v>18000</v>
      </c>
      <c r="N77" s="48"/>
      <c r="O77" s="49" t="s">
        <v>251</v>
      </c>
      <c r="P77" s="93"/>
    </row>
    <row r="78" spans="1:159" s="94" customFormat="1" ht="50.25" customHeight="1">
      <c r="A78" s="62">
        <v>2.2999999999999998</v>
      </c>
      <c r="B78" s="95" t="s">
        <v>245</v>
      </c>
      <c r="C78" s="95" t="s">
        <v>90</v>
      </c>
      <c r="D78" s="48" t="s">
        <v>89</v>
      </c>
      <c r="E78" s="48"/>
      <c r="F78" s="48">
        <v>10</v>
      </c>
      <c r="G78" s="48"/>
      <c r="H78" s="48">
        <v>1</v>
      </c>
      <c r="I78" s="48">
        <v>44</v>
      </c>
      <c r="J78" s="51">
        <v>44</v>
      </c>
      <c r="K78" s="96">
        <f>(3*8*150*2+2*8*150*5+2*8*75*5)*2</f>
        <v>50400</v>
      </c>
      <c r="L78" s="53">
        <f>37*4*900+7*2*900+J78*4000</f>
        <v>321800</v>
      </c>
      <c r="M78" s="53">
        <f t="shared" si="22"/>
        <v>372200</v>
      </c>
      <c r="N78" s="48"/>
      <c r="O78" s="49" t="s">
        <v>233</v>
      </c>
      <c r="P78" s="93"/>
    </row>
    <row r="79" spans="1:159" s="94" customFormat="1" ht="31.5">
      <c r="A79" s="62">
        <v>2.4</v>
      </c>
      <c r="B79" s="95" t="s">
        <v>260</v>
      </c>
      <c r="C79" s="49" t="s">
        <v>88</v>
      </c>
      <c r="D79" s="48" t="s">
        <v>47</v>
      </c>
      <c r="E79" s="48"/>
      <c r="F79" s="48">
        <v>5</v>
      </c>
      <c r="G79" s="48"/>
      <c r="H79" s="48">
        <v>1</v>
      </c>
      <c r="I79" s="48">
        <v>5</v>
      </c>
      <c r="J79" s="51">
        <v>5</v>
      </c>
      <c r="K79" s="96">
        <f>(5*8*150+2*8*75)</f>
        <v>7200</v>
      </c>
      <c r="L79" s="53">
        <v>0</v>
      </c>
      <c r="M79" s="53">
        <f t="shared" si="22"/>
        <v>7200</v>
      </c>
      <c r="N79" s="48"/>
      <c r="O79" s="49"/>
      <c r="P79" s="93"/>
    </row>
    <row r="80" spans="1:159" s="94" customFormat="1" ht="49.5" customHeight="1">
      <c r="A80" s="62">
        <v>2.5</v>
      </c>
      <c r="B80" s="95" t="s">
        <v>246</v>
      </c>
      <c r="C80" s="49" t="s">
        <v>87</v>
      </c>
      <c r="D80" s="48" t="s">
        <v>54</v>
      </c>
      <c r="E80" s="48"/>
      <c r="F80" s="48">
        <v>10</v>
      </c>
      <c r="G80" s="48"/>
      <c r="H80" s="48">
        <v>1</v>
      </c>
      <c r="I80" s="48">
        <v>75</v>
      </c>
      <c r="J80" s="51">
        <v>75</v>
      </c>
      <c r="K80" s="96">
        <f>(5*8*150+2*8*75)*5*2</f>
        <v>72000</v>
      </c>
      <c r="L80" s="53">
        <v>0</v>
      </c>
      <c r="M80" s="53">
        <f t="shared" si="22"/>
        <v>72000</v>
      </c>
      <c r="N80" s="48"/>
      <c r="O80" s="49" t="s">
        <v>383</v>
      </c>
      <c r="P80" s="93"/>
    </row>
    <row r="81" spans="1:16" s="94" customFormat="1" ht="31.5">
      <c r="A81" s="62">
        <v>2.6</v>
      </c>
      <c r="B81" s="95" t="s">
        <v>86</v>
      </c>
      <c r="C81" s="49" t="s">
        <v>157</v>
      </c>
      <c r="D81" s="48" t="s">
        <v>85</v>
      </c>
      <c r="E81" s="48"/>
      <c r="F81" s="48">
        <v>5</v>
      </c>
      <c r="G81" s="48"/>
      <c r="H81" s="48">
        <v>1</v>
      </c>
      <c r="I81" s="48">
        <v>15</v>
      </c>
      <c r="J81" s="51">
        <v>15</v>
      </c>
      <c r="K81" s="96">
        <f>(3*8*150*2+2*8*150*4+2*8*75*4)</f>
        <v>21600</v>
      </c>
      <c r="L81" s="53">
        <f>J81*2*900+J81*1000</f>
        <v>42000</v>
      </c>
      <c r="M81" s="53">
        <f t="shared" si="22"/>
        <v>63600</v>
      </c>
      <c r="N81" s="48"/>
      <c r="O81" s="49" t="s">
        <v>234</v>
      </c>
      <c r="P81" s="93"/>
    </row>
    <row r="82" spans="1:16" s="94" customFormat="1" ht="31.5">
      <c r="A82" s="62">
        <v>2.7</v>
      </c>
      <c r="B82" s="95" t="s">
        <v>84</v>
      </c>
      <c r="C82" s="49" t="s">
        <v>83</v>
      </c>
      <c r="D82" s="48" t="s">
        <v>82</v>
      </c>
      <c r="E82" s="48"/>
      <c r="F82" s="48">
        <v>5</v>
      </c>
      <c r="G82" s="48"/>
      <c r="H82" s="48">
        <v>1</v>
      </c>
      <c r="I82" s="48">
        <v>13</v>
      </c>
      <c r="J82" s="51">
        <v>13</v>
      </c>
      <c r="K82" s="96">
        <f t="shared" ref="K82:K85" si="23">(3*8*150*2+2*8*150*4+2*8*75*4)</f>
        <v>21600</v>
      </c>
      <c r="L82" s="53">
        <f>J82*2*900+J82*1000</f>
        <v>36400</v>
      </c>
      <c r="M82" s="53">
        <f t="shared" si="22"/>
        <v>58000</v>
      </c>
      <c r="N82" s="48"/>
      <c r="O82" s="49" t="s">
        <v>234</v>
      </c>
      <c r="P82" s="93"/>
    </row>
    <row r="83" spans="1:16" s="94" customFormat="1" ht="31.5">
      <c r="A83" s="62">
        <v>2.8</v>
      </c>
      <c r="B83" s="95" t="s">
        <v>158</v>
      </c>
      <c r="C83" s="49" t="s">
        <v>81</v>
      </c>
      <c r="D83" s="48" t="s">
        <v>80</v>
      </c>
      <c r="E83" s="48"/>
      <c r="F83" s="48">
        <v>5</v>
      </c>
      <c r="G83" s="48"/>
      <c r="H83" s="48">
        <v>1</v>
      </c>
      <c r="I83" s="48">
        <v>12</v>
      </c>
      <c r="J83" s="51">
        <v>12</v>
      </c>
      <c r="K83" s="96">
        <f t="shared" si="23"/>
        <v>21600</v>
      </c>
      <c r="L83" s="53">
        <f>J83*2*900+J83*2000</f>
        <v>45600</v>
      </c>
      <c r="M83" s="53">
        <f t="shared" si="22"/>
        <v>67200</v>
      </c>
      <c r="N83" s="48"/>
      <c r="O83" s="49" t="s">
        <v>234</v>
      </c>
      <c r="P83" s="93"/>
    </row>
    <row r="84" spans="1:16" s="94" customFormat="1" ht="31.5">
      <c r="A84" s="62">
        <v>2.9</v>
      </c>
      <c r="B84" s="95" t="s">
        <v>159</v>
      </c>
      <c r="C84" s="49" t="s">
        <v>79</v>
      </c>
      <c r="D84" s="48" t="s">
        <v>78</v>
      </c>
      <c r="E84" s="48"/>
      <c r="F84" s="48">
        <v>5</v>
      </c>
      <c r="G84" s="48"/>
      <c r="H84" s="48">
        <v>1</v>
      </c>
      <c r="I84" s="48">
        <v>13</v>
      </c>
      <c r="J84" s="51">
        <v>13</v>
      </c>
      <c r="K84" s="96">
        <f t="shared" si="23"/>
        <v>21600</v>
      </c>
      <c r="L84" s="53">
        <f>J84*2*900+J84*2000</f>
        <v>49400</v>
      </c>
      <c r="M84" s="53">
        <f t="shared" si="22"/>
        <v>71000</v>
      </c>
      <c r="N84" s="48"/>
      <c r="O84" s="49" t="s">
        <v>234</v>
      </c>
      <c r="P84" s="93"/>
    </row>
    <row r="85" spans="1:16" s="94" customFormat="1" ht="31.5">
      <c r="A85" s="99">
        <v>2.1</v>
      </c>
      <c r="B85" s="95" t="s">
        <v>77</v>
      </c>
      <c r="C85" s="49" t="s">
        <v>160</v>
      </c>
      <c r="D85" s="48" t="s">
        <v>76</v>
      </c>
      <c r="E85" s="48"/>
      <c r="F85" s="48">
        <v>5</v>
      </c>
      <c r="G85" s="48"/>
      <c r="H85" s="48">
        <v>1</v>
      </c>
      <c r="I85" s="48">
        <v>11</v>
      </c>
      <c r="J85" s="51">
        <v>11</v>
      </c>
      <c r="K85" s="96">
        <f t="shared" si="23"/>
        <v>21600</v>
      </c>
      <c r="L85" s="53">
        <f>J85*2*900+J85*2000</f>
        <v>41800</v>
      </c>
      <c r="M85" s="53">
        <f t="shared" si="22"/>
        <v>63400</v>
      </c>
      <c r="N85" s="48"/>
      <c r="O85" s="49" t="s">
        <v>234</v>
      </c>
      <c r="P85" s="93"/>
    </row>
    <row r="86" spans="1:16" s="94" customFormat="1" ht="15.75">
      <c r="A86" s="62">
        <v>2.11</v>
      </c>
      <c r="B86" s="95" t="s">
        <v>75</v>
      </c>
      <c r="C86" s="49" t="s">
        <v>74</v>
      </c>
      <c r="D86" s="48" t="s">
        <v>73</v>
      </c>
      <c r="E86" s="48"/>
      <c r="F86" s="48">
        <v>5</v>
      </c>
      <c r="G86" s="48"/>
      <c r="H86" s="48">
        <v>1</v>
      </c>
      <c r="I86" s="48">
        <v>8</v>
      </c>
      <c r="J86" s="51">
        <v>8</v>
      </c>
      <c r="K86" s="96">
        <f>5*8*150*2</f>
        <v>12000</v>
      </c>
      <c r="L86" s="53">
        <v>0</v>
      </c>
      <c r="M86" s="53">
        <f t="shared" si="22"/>
        <v>12000</v>
      </c>
      <c r="N86" s="48"/>
      <c r="O86" s="49" t="s">
        <v>232</v>
      </c>
      <c r="P86" s="93"/>
    </row>
    <row r="87" spans="1:16" s="94" customFormat="1" ht="15.75">
      <c r="A87" s="62">
        <v>2.12</v>
      </c>
      <c r="B87" s="95" t="s">
        <v>72</v>
      </c>
      <c r="C87" s="49" t="s">
        <v>71</v>
      </c>
      <c r="D87" s="48" t="s">
        <v>58</v>
      </c>
      <c r="E87" s="48"/>
      <c r="F87" s="48">
        <v>5</v>
      </c>
      <c r="G87" s="48"/>
      <c r="H87" s="100">
        <v>1</v>
      </c>
      <c r="I87" s="48">
        <v>8</v>
      </c>
      <c r="J87" s="51">
        <v>8</v>
      </c>
      <c r="K87" s="101">
        <f>3*8*150*3+2*8*150*2*6</f>
        <v>39600</v>
      </c>
      <c r="L87" s="101">
        <f>4*800*6+12000</f>
        <v>31200</v>
      </c>
      <c r="M87" s="102">
        <f t="shared" si="22"/>
        <v>70800</v>
      </c>
      <c r="N87" s="100"/>
      <c r="O87" s="103" t="s">
        <v>384</v>
      </c>
      <c r="P87" s="93"/>
    </row>
    <row r="88" spans="1:16" s="94" customFormat="1" ht="19.5" customHeight="1">
      <c r="A88" s="62">
        <v>2.13</v>
      </c>
      <c r="B88" s="95" t="s">
        <v>70</v>
      </c>
      <c r="C88" s="49" t="s">
        <v>69</v>
      </c>
      <c r="D88" s="48" t="s">
        <v>58</v>
      </c>
      <c r="E88" s="48"/>
      <c r="F88" s="48">
        <v>5</v>
      </c>
      <c r="G88" s="48"/>
      <c r="H88" s="100"/>
      <c r="I88" s="48">
        <v>5</v>
      </c>
      <c r="J88" s="51">
        <v>5</v>
      </c>
      <c r="K88" s="101"/>
      <c r="L88" s="101"/>
      <c r="M88" s="102"/>
      <c r="N88" s="100"/>
      <c r="O88" s="103"/>
      <c r="P88" s="93"/>
    </row>
    <row r="89" spans="1:16" s="94" customFormat="1" ht="19.5" customHeight="1">
      <c r="A89" s="62">
        <v>2.14</v>
      </c>
      <c r="B89" s="95" t="s">
        <v>68</v>
      </c>
      <c r="C89" s="49" t="s">
        <v>67</v>
      </c>
      <c r="D89" s="48" t="s">
        <v>58</v>
      </c>
      <c r="E89" s="48"/>
      <c r="F89" s="48">
        <v>5</v>
      </c>
      <c r="G89" s="48"/>
      <c r="H89" s="100"/>
      <c r="I89" s="48">
        <v>3</v>
      </c>
      <c r="J89" s="51">
        <v>3</v>
      </c>
      <c r="K89" s="101"/>
      <c r="L89" s="101"/>
      <c r="M89" s="102"/>
      <c r="N89" s="100"/>
      <c r="O89" s="103"/>
      <c r="P89" s="93"/>
    </row>
    <row r="90" spans="1:16" s="94" customFormat="1" ht="19.5" customHeight="1">
      <c r="A90" s="62">
        <v>2.15</v>
      </c>
      <c r="B90" s="95" t="s">
        <v>66</v>
      </c>
      <c r="C90" s="49" t="s">
        <v>65</v>
      </c>
      <c r="D90" s="48" t="s">
        <v>58</v>
      </c>
      <c r="E90" s="48"/>
      <c r="F90" s="48">
        <v>5</v>
      </c>
      <c r="G90" s="48"/>
      <c r="H90" s="100"/>
      <c r="I90" s="48">
        <v>3</v>
      </c>
      <c r="J90" s="51">
        <v>3</v>
      </c>
      <c r="K90" s="101"/>
      <c r="L90" s="101"/>
      <c r="M90" s="102"/>
      <c r="N90" s="100"/>
      <c r="O90" s="103"/>
      <c r="P90" s="93"/>
    </row>
    <row r="91" spans="1:16" s="94" customFormat="1" ht="18" customHeight="1">
      <c r="A91" s="62">
        <v>2.16</v>
      </c>
      <c r="B91" s="95" t="s">
        <v>64</v>
      </c>
      <c r="C91" s="49" t="s">
        <v>63</v>
      </c>
      <c r="D91" s="48" t="s">
        <v>58</v>
      </c>
      <c r="E91" s="48"/>
      <c r="F91" s="48">
        <v>5</v>
      </c>
      <c r="G91" s="48"/>
      <c r="H91" s="100"/>
      <c r="I91" s="48">
        <v>5</v>
      </c>
      <c r="J91" s="51">
        <v>5</v>
      </c>
      <c r="K91" s="101"/>
      <c r="L91" s="101"/>
      <c r="M91" s="102"/>
      <c r="N91" s="100"/>
      <c r="O91" s="103"/>
      <c r="P91" s="93"/>
    </row>
    <row r="92" spans="1:16" s="94" customFormat="1" ht="18" customHeight="1">
      <c r="A92" s="62">
        <v>2.17</v>
      </c>
      <c r="B92" s="95" t="s">
        <v>62</v>
      </c>
      <c r="C92" s="49" t="s">
        <v>61</v>
      </c>
      <c r="D92" s="48" t="s">
        <v>58</v>
      </c>
      <c r="E92" s="48"/>
      <c r="F92" s="48">
        <v>5</v>
      </c>
      <c r="G92" s="48"/>
      <c r="H92" s="100"/>
      <c r="I92" s="48">
        <v>10</v>
      </c>
      <c r="J92" s="51">
        <v>10</v>
      </c>
      <c r="K92" s="101"/>
      <c r="L92" s="101"/>
      <c r="M92" s="102"/>
      <c r="N92" s="100"/>
      <c r="O92" s="103"/>
      <c r="P92" s="93"/>
    </row>
    <row r="93" spans="1:16" s="94" customFormat="1" ht="15.75">
      <c r="A93" s="62">
        <v>2.1800000000000002</v>
      </c>
      <c r="B93" s="95" t="s">
        <v>60</v>
      </c>
      <c r="C93" s="49" t="s">
        <v>59</v>
      </c>
      <c r="D93" s="48" t="s">
        <v>58</v>
      </c>
      <c r="E93" s="48"/>
      <c r="F93" s="48">
        <v>5</v>
      </c>
      <c r="G93" s="48"/>
      <c r="H93" s="48">
        <v>1</v>
      </c>
      <c r="I93" s="48">
        <v>12</v>
      </c>
      <c r="J93" s="51">
        <v>12</v>
      </c>
      <c r="K93" s="96">
        <f>5*8*150*2</f>
        <v>12000</v>
      </c>
      <c r="L93" s="53">
        <v>0</v>
      </c>
      <c r="M93" s="53">
        <f t="shared" si="22"/>
        <v>12000</v>
      </c>
      <c r="N93" s="48"/>
      <c r="O93" s="49" t="s">
        <v>235</v>
      </c>
      <c r="P93" s="93"/>
    </row>
    <row r="94" spans="1:16" s="94" customFormat="1" ht="32.25" customHeight="1">
      <c r="A94" s="62">
        <v>3</v>
      </c>
      <c r="B94" s="92" t="s">
        <v>161</v>
      </c>
      <c r="C94" s="50"/>
      <c r="D94" s="50"/>
      <c r="E94" s="50"/>
      <c r="F94" s="48"/>
      <c r="G94" s="48"/>
      <c r="H94" s="20">
        <f t="shared" ref="H94:M94" si="24">SUM(H95:H98)</f>
        <v>4</v>
      </c>
      <c r="I94" s="20">
        <f t="shared" si="24"/>
        <v>29</v>
      </c>
      <c r="J94" s="20">
        <f t="shared" si="24"/>
        <v>29</v>
      </c>
      <c r="K94" s="104">
        <f t="shared" si="24"/>
        <v>388600</v>
      </c>
      <c r="L94" s="104">
        <f t="shared" si="24"/>
        <v>264800</v>
      </c>
      <c r="M94" s="104">
        <f t="shared" si="24"/>
        <v>653400</v>
      </c>
      <c r="N94" s="20"/>
      <c r="O94" s="49"/>
      <c r="P94" s="93"/>
    </row>
    <row r="95" spans="1:16" s="93" customFormat="1" ht="32.25" customHeight="1">
      <c r="A95" s="62">
        <v>3.1</v>
      </c>
      <c r="B95" s="49" t="s">
        <v>162</v>
      </c>
      <c r="C95" s="50" t="s">
        <v>271</v>
      </c>
      <c r="D95" s="50" t="s">
        <v>73</v>
      </c>
      <c r="E95" s="50"/>
      <c r="F95" s="48">
        <v>45</v>
      </c>
      <c r="G95" s="48">
        <v>12</v>
      </c>
      <c r="H95" s="48">
        <v>1</v>
      </c>
      <c r="I95" s="48">
        <v>12</v>
      </c>
      <c r="J95" s="51">
        <v>12</v>
      </c>
      <c r="K95" s="96">
        <f>F95*8*150+29*8*75+J95*90*40</f>
        <v>114600</v>
      </c>
      <c r="L95" s="53">
        <v>0</v>
      </c>
      <c r="M95" s="53">
        <f>K95+L95</f>
        <v>114600</v>
      </c>
      <c r="N95" s="48"/>
      <c r="O95" s="49"/>
    </row>
    <row r="96" spans="1:16" s="93" customFormat="1" ht="32.25" customHeight="1">
      <c r="A96" s="62">
        <f>0.1+A95</f>
        <v>3.2</v>
      </c>
      <c r="B96" s="49" t="s">
        <v>274</v>
      </c>
      <c r="C96" s="50" t="s">
        <v>272</v>
      </c>
      <c r="D96" s="50" t="s">
        <v>273</v>
      </c>
      <c r="E96" s="50"/>
      <c r="F96" s="48">
        <v>45</v>
      </c>
      <c r="G96" s="48">
        <v>12</v>
      </c>
      <c r="H96" s="48">
        <v>1</v>
      </c>
      <c r="I96" s="48">
        <v>7</v>
      </c>
      <c r="J96" s="51">
        <v>7</v>
      </c>
      <c r="K96" s="96">
        <f>F96*8*150+29*8*75+J96*90*40</f>
        <v>96600</v>
      </c>
      <c r="L96" s="53">
        <v>105000</v>
      </c>
      <c r="M96" s="53">
        <f>K96+L96</f>
        <v>201600</v>
      </c>
      <c r="N96" s="48"/>
      <c r="O96" s="49" t="s">
        <v>275</v>
      </c>
    </row>
    <row r="97" spans="1:16" s="94" customFormat="1" ht="32.25" customHeight="1">
      <c r="A97" s="62">
        <f t="shared" ref="A97:A98" si="25">0.1+A96</f>
        <v>3.3000000000000003</v>
      </c>
      <c r="B97" s="49" t="s">
        <v>348</v>
      </c>
      <c r="C97" s="50" t="s">
        <v>364</v>
      </c>
      <c r="D97" s="50" t="s">
        <v>366</v>
      </c>
      <c r="E97" s="50"/>
      <c r="F97" s="48">
        <v>23</v>
      </c>
      <c r="G97" s="48">
        <v>15</v>
      </c>
      <c r="H97" s="48">
        <v>1</v>
      </c>
      <c r="I97" s="48">
        <v>5</v>
      </c>
      <c r="J97" s="51">
        <f>H97*I97</f>
        <v>5</v>
      </c>
      <c r="K97" s="96">
        <f>F97*8*150+112*75+J97*G97*8*40</f>
        <v>60000</v>
      </c>
      <c r="L97" s="96">
        <f>G97*800*J97+J97*4000</f>
        <v>80000</v>
      </c>
      <c r="M97" s="53">
        <f t="shared" ref="M97:M98" si="26">K97+L97</f>
        <v>140000</v>
      </c>
      <c r="N97" s="48"/>
      <c r="O97" s="95"/>
      <c r="P97" s="93"/>
    </row>
    <row r="98" spans="1:16" s="94" customFormat="1" ht="32.25" customHeight="1">
      <c r="A98" s="62">
        <f t="shared" si="25"/>
        <v>3.4000000000000004</v>
      </c>
      <c r="B98" s="49" t="s">
        <v>365</v>
      </c>
      <c r="C98" s="50" t="s">
        <v>271</v>
      </c>
      <c r="D98" s="50" t="s">
        <v>366</v>
      </c>
      <c r="E98" s="50"/>
      <c r="F98" s="48">
        <v>42</v>
      </c>
      <c r="G98" s="48">
        <v>31</v>
      </c>
      <c r="H98" s="48">
        <v>1</v>
      </c>
      <c r="I98" s="48">
        <v>5</v>
      </c>
      <c r="J98" s="51">
        <f>H98*I98</f>
        <v>5</v>
      </c>
      <c r="K98" s="96">
        <f>F98*8*150+232*75+J98*G98*8*40</f>
        <v>117400</v>
      </c>
      <c r="L98" s="96">
        <v>79800</v>
      </c>
      <c r="M98" s="53">
        <f t="shared" si="26"/>
        <v>197200</v>
      </c>
      <c r="N98" s="48"/>
      <c r="O98" s="49" t="s">
        <v>275</v>
      </c>
      <c r="P98" s="93"/>
    </row>
    <row r="99" spans="1:16" s="94" customFormat="1" ht="19.5" customHeight="1">
      <c r="A99" s="62">
        <v>4</v>
      </c>
      <c r="B99" s="92" t="s">
        <v>163</v>
      </c>
      <c r="C99" s="50"/>
      <c r="D99" s="50"/>
      <c r="E99" s="50"/>
      <c r="F99" s="48"/>
      <c r="G99" s="48"/>
      <c r="H99" s="20">
        <f>SUM(H100)</f>
        <v>3</v>
      </c>
      <c r="I99" s="20">
        <f t="shared" ref="I99:L99" si="27">SUM(I100)</f>
        <v>0</v>
      </c>
      <c r="J99" s="20">
        <f t="shared" si="27"/>
        <v>0</v>
      </c>
      <c r="K99" s="104">
        <f t="shared" si="27"/>
        <v>21600</v>
      </c>
      <c r="L99" s="98">
        <f t="shared" si="27"/>
        <v>9600</v>
      </c>
      <c r="M99" s="98">
        <f>SUM(M100)</f>
        <v>31200</v>
      </c>
      <c r="N99" s="20"/>
      <c r="O99" s="49"/>
      <c r="P99" s="93"/>
    </row>
    <row r="100" spans="1:16" s="94" customFormat="1" ht="54.75" customHeight="1">
      <c r="A100" s="48">
        <v>4.0999999999999996</v>
      </c>
      <c r="B100" s="49" t="s">
        <v>57</v>
      </c>
      <c r="C100" s="49" t="s">
        <v>48</v>
      </c>
      <c r="D100" s="48" t="s">
        <v>400</v>
      </c>
      <c r="E100" s="48"/>
      <c r="F100" s="48">
        <v>5</v>
      </c>
      <c r="G100" s="48"/>
      <c r="H100" s="48">
        <v>3</v>
      </c>
      <c r="I100" s="48" t="s">
        <v>8</v>
      </c>
      <c r="J100" s="48" t="s">
        <v>8</v>
      </c>
      <c r="K100" s="53">
        <f>(F100*8*150+2*8*75)*3</f>
        <v>21600</v>
      </c>
      <c r="L100" s="53">
        <f>2*900*2+2*3000</f>
        <v>9600</v>
      </c>
      <c r="M100" s="53">
        <f>K100+L100</f>
        <v>31200</v>
      </c>
      <c r="N100" s="48"/>
      <c r="O100" s="49" t="s">
        <v>385</v>
      </c>
      <c r="P100" s="93"/>
    </row>
    <row r="101" spans="1:16" s="94" customFormat="1" ht="31.5">
      <c r="A101" s="48">
        <v>5</v>
      </c>
      <c r="B101" s="92" t="s">
        <v>164</v>
      </c>
      <c r="C101" s="49"/>
      <c r="D101" s="48"/>
      <c r="E101" s="48"/>
      <c r="F101" s="48"/>
      <c r="G101" s="48"/>
      <c r="H101" s="20">
        <f>SUM(H102:H113)</f>
        <v>19</v>
      </c>
      <c r="I101" s="20">
        <f>SUM(J102:J107)</f>
        <v>0</v>
      </c>
      <c r="J101" s="98">
        <f>SUM(J102:J107)</f>
        <v>0</v>
      </c>
      <c r="K101" s="98">
        <f>SUM(K102:K113)</f>
        <v>135600</v>
      </c>
      <c r="L101" s="98">
        <f>SUM(L102:L113)</f>
        <v>372400</v>
      </c>
      <c r="M101" s="98">
        <f>SUM(M102:M113)</f>
        <v>508000</v>
      </c>
      <c r="N101" s="20"/>
      <c r="O101" s="49"/>
      <c r="P101" s="93"/>
    </row>
    <row r="102" spans="1:16" s="94" customFormat="1" ht="31.5">
      <c r="A102" s="48" t="s">
        <v>56</v>
      </c>
      <c r="B102" s="49" t="s">
        <v>55</v>
      </c>
      <c r="C102" s="38" t="s">
        <v>48</v>
      </c>
      <c r="D102" s="48" t="s">
        <v>387</v>
      </c>
      <c r="E102" s="48"/>
      <c r="F102" s="48">
        <v>5</v>
      </c>
      <c r="G102" s="48"/>
      <c r="H102" s="48">
        <v>1</v>
      </c>
      <c r="I102" s="48" t="s">
        <v>8</v>
      </c>
      <c r="J102" s="48" t="s">
        <v>8</v>
      </c>
      <c r="K102" s="53">
        <f>(F102*8*150+2*8*75)*3</f>
        <v>21600</v>
      </c>
      <c r="L102" s="53">
        <f>2*900+3000</f>
        <v>4800</v>
      </c>
      <c r="M102" s="53">
        <f>K102+L102</f>
        <v>26400</v>
      </c>
      <c r="N102" s="48"/>
      <c r="O102" s="49" t="s">
        <v>386</v>
      </c>
      <c r="P102" s="93"/>
    </row>
    <row r="103" spans="1:16" s="94" customFormat="1" ht="31.5">
      <c r="A103" s="48">
        <f>0.1+A102</f>
        <v>5.1999999999999993</v>
      </c>
      <c r="B103" s="49" t="s">
        <v>53</v>
      </c>
      <c r="C103" s="49" t="s">
        <v>52</v>
      </c>
      <c r="D103" s="105" t="s">
        <v>51</v>
      </c>
      <c r="E103" s="105"/>
      <c r="F103" s="48">
        <v>2</v>
      </c>
      <c r="G103" s="48"/>
      <c r="H103" s="48">
        <v>2</v>
      </c>
      <c r="I103" s="48" t="s">
        <v>8</v>
      </c>
      <c r="J103" s="48" t="s">
        <v>8</v>
      </c>
      <c r="K103" s="53">
        <f>(F103*8*150)*H103</f>
        <v>4800</v>
      </c>
      <c r="L103" s="53">
        <f>2*900+4000</f>
        <v>5800</v>
      </c>
      <c r="M103" s="53">
        <f>K103+L103</f>
        <v>10600</v>
      </c>
      <c r="N103" s="48"/>
      <c r="O103" s="49"/>
      <c r="P103" s="93"/>
    </row>
    <row r="104" spans="1:16" s="94" customFormat="1" ht="31.5">
      <c r="A104" s="48">
        <f t="shared" ref="A104:A110" si="28">0.1+A103</f>
        <v>5.2999999999999989</v>
      </c>
      <c r="B104" s="49" t="s">
        <v>165</v>
      </c>
      <c r="C104" s="49" t="s">
        <v>166</v>
      </c>
      <c r="D104" s="105" t="s">
        <v>167</v>
      </c>
      <c r="E104" s="105"/>
      <c r="F104" s="106">
        <v>5</v>
      </c>
      <c r="G104" s="48"/>
      <c r="H104" s="48">
        <v>1</v>
      </c>
      <c r="I104" s="48" t="s">
        <v>8</v>
      </c>
      <c r="J104" s="48" t="s">
        <v>8</v>
      </c>
      <c r="K104" s="53">
        <f t="shared" ref="K104:K106" si="29">(F104*8*150)*H104</f>
        <v>6000</v>
      </c>
      <c r="L104" s="53">
        <v>0</v>
      </c>
      <c r="M104" s="53">
        <f t="shared" ref="M104:M107" si="30">K104+L104</f>
        <v>6000</v>
      </c>
      <c r="N104" s="48"/>
      <c r="O104" s="49" t="s">
        <v>253</v>
      </c>
      <c r="P104" s="93"/>
    </row>
    <row r="105" spans="1:16" s="94" customFormat="1" ht="31.5">
      <c r="A105" s="48">
        <f t="shared" si="28"/>
        <v>5.3999999999999986</v>
      </c>
      <c r="B105" s="49" t="s">
        <v>168</v>
      </c>
      <c r="C105" s="49" t="s">
        <v>48</v>
      </c>
      <c r="D105" s="105" t="s">
        <v>167</v>
      </c>
      <c r="E105" s="105"/>
      <c r="F105" s="48">
        <v>5</v>
      </c>
      <c r="G105" s="48"/>
      <c r="H105" s="48">
        <v>1</v>
      </c>
      <c r="I105" s="48" t="s">
        <v>8</v>
      </c>
      <c r="J105" s="48" t="s">
        <v>8</v>
      </c>
      <c r="K105" s="53">
        <f t="shared" si="29"/>
        <v>6000</v>
      </c>
      <c r="L105" s="53">
        <v>0</v>
      </c>
      <c r="M105" s="53">
        <f t="shared" si="30"/>
        <v>6000</v>
      </c>
      <c r="N105" s="48"/>
      <c r="O105" s="49" t="s">
        <v>253</v>
      </c>
      <c r="P105" s="93"/>
    </row>
    <row r="106" spans="1:16" s="94" customFormat="1" ht="47.25">
      <c r="A106" s="48">
        <f t="shared" si="28"/>
        <v>5.4999999999999982</v>
      </c>
      <c r="B106" s="49" t="s">
        <v>236</v>
      </c>
      <c r="C106" s="49" t="s">
        <v>169</v>
      </c>
      <c r="D106" s="105" t="s">
        <v>170</v>
      </c>
      <c r="E106" s="105"/>
      <c r="F106" s="48">
        <v>5</v>
      </c>
      <c r="G106" s="48"/>
      <c r="H106" s="48">
        <v>2</v>
      </c>
      <c r="I106" s="48" t="s">
        <v>8</v>
      </c>
      <c r="J106" s="48" t="s">
        <v>8</v>
      </c>
      <c r="K106" s="53">
        <f t="shared" si="29"/>
        <v>12000</v>
      </c>
      <c r="L106" s="53">
        <v>0</v>
      </c>
      <c r="M106" s="53">
        <f t="shared" si="30"/>
        <v>12000</v>
      </c>
      <c r="N106" s="48"/>
      <c r="O106" s="49"/>
      <c r="P106" s="93"/>
    </row>
    <row r="107" spans="1:16" s="94" customFormat="1" ht="31.5">
      <c r="A107" s="48">
        <f t="shared" si="28"/>
        <v>5.5999999999999979</v>
      </c>
      <c r="B107" s="49" t="s">
        <v>171</v>
      </c>
      <c r="C107" s="49" t="s">
        <v>52</v>
      </c>
      <c r="D107" s="105" t="s">
        <v>172</v>
      </c>
      <c r="E107" s="105"/>
      <c r="F107" s="48">
        <v>2</v>
      </c>
      <c r="G107" s="48"/>
      <c r="H107" s="48">
        <v>2</v>
      </c>
      <c r="I107" s="48"/>
      <c r="J107" s="48"/>
      <c r="K107" s="53">
        <f>(F107*8*150)*H107</f>
        <v>4800</v>
      </c>
      <c r="L107" s="53">
        <v>0</v>
      </c>
      <c r="M107" s="53">
        <f t="shared" si="30"/>
        <v>4800</v>
      </c>
      <c r="N107" s="48"/>
      <c r="O107" s="49"/>
      <c r="P107" s="93"/>
    </row>
    <row r="108" spans="1:16" s="94" customFormat="1" ht="41.25" customHeight="1">
      <c r="A108" s="48">
        <f t="shared" si="28"/>
        <v>5.6999999999999975</v>
      </c>
      <c r="B108" s="38" t="s">
        <v>174</v>
      </c>
      <c r="C108" s="38" t="s">
        <v>175</v>
      </c>
      <c r="D108" s="48" t="s">
        <v>43</v>
      </c>
      <c r="E108" s="48"/>
      <c r="F108" s="48">
        <v>5</v>
      </c>
      <c r="G108" s="48"/>
      <c r="H108" s="48">
        <v>2</v>
      </c>
      <c r="I108" s="48" t="s">
        <v>8</v>
      </c>
      <c r="J108" s="48">
        <v>26</v>
      </c>
      <c r="K108" s="53">
        <f>3*8*150*2+2*8*150*3+2*8*75*3</f>
        <v>18000</v>
      </c>
      <c r="L108" s="53">
        <f>13*2*900+22000</f>
        <v>45400</v>
      </c>
      <c r="M108" s="53">
        <f t="shared" ref="M108:M113" si="31">K108+L108</f>
        <v>63400</v>
      </c>
      <c r="N108" s="48"/>
      <c r="O108" s="49" t="s">
        <v>241</v>
      </c>
      <c r="P108" s="93"/>
    </row>
    <row r="109" spans="1:16" s="94" customFormat="1" ht="41.25" customHeight="1">
      <c r="A109" s="48">
        <f t="shared" si="28"/>
        <v>5.7999999999999972</v>
      </c>
      <c r="B109" s="38" t="s">
        <v>237</v>
      </c>
      <c r="C109" s="38" t="s">
        <v>238</v>
      </c>
      <c r="D109" s="48" t="s">
        <v>43</v>
      </c>
      <c r="E109" s="48"/>
      <c r="F109" s="48">
        <v>4</v>
      </c>
      <c r="G109" s="48"/>
      <c r="H109" s="48">
        <v>2</v>
      </c>
      <c r="I109" s="48" t="s">
        <v>8</v>
      </c>
      <c r="J109" s="48">
        <v>52</v>
      </c>
      <c r="K109" s="53">
        <f>2*8*150*2+2*8*150*4+2*8*75*4</f>
        <v>19200</v>
      </c>
      <c r="L109" s="53">
        <f>40*2*900+50000</f>
        <v>122000</v>
      </c>
      <c r="M109" s="53">
        <f t="shared" si="31"/>
        <v>141200</v>
      </c>
      <c r="N109" s="48"/>
      <c r="O109" s="49" t="s">
        <v>242</v>
      </c>
      <c r="P109" s="93"/>
    </row>
    <row r="110" spans="1:16" s="94" customFormat="1" ht="61.5" customHeight="1">
      <c r="A110" s="48">
        <f t="shared" si="28"/>
        <v>5.8999999999999968</v>
      </c>
      <c r="B110" s="38" t="s">
        <v>239</v>
      </c>
      <c r="C110" s="38" t="s">
        <v>48</v>
      </c>
      <c r="D110" s="48" t="s">
        <v>43</v>
      </c>
      <c r="E110" s="48"/>
      <c r="F110" s="48">
        <v>5</v>
      </c>
      <c r="G110" s="48"/>
      <c r="H110" s="48">
        <v>3</v>
      </c>
      <c r="I110" s="48"/>
      <c r="J110" s="48">
        <v>185</v>
      </c>
      <c r="K110" s="53">
        <f>3*8*150*H110+2*8*150*6+2*8*75*6</f>
        <v>32400</v>
      </c>
      <c r="L110" s="53">
        <f>108*2*900</f>
        <v>194400</v>
      </c>
      <c r="M110" s="53">
        <f t="shared" si="31"/>
        <v>226800</v>
      </c>
      <c r="N110" s="48"/>
      <c r="O110" s="49" t="s">
        <v>243</v>
      </c>
      <c r="P110" s="93"/>
    </row>
    <row r="111" spans="1:16" s="94" customFormat="1" ht="90.75" customHeight="1">
      <c r="A111" s="51" t="s">
        <v>391</v>
      </c>
      <c r="B111" s="38" t="s">
        <v>349</v>
      </c>
      <c r="C111" s="38" t="s">
        <v>48</v>
      </c>
      <c r="D111" s="48" t="s">
        <v>43</v>
      </c>
      <c r="E111" s="48"/>
      <c r="F111" s="48">
        <v>1</v>
      </c>
      <c r="G111" s="48"/>
      <c r="H111" s="48">
        <v>1</v>
      </c>
      <c r="I111" s="48"/>
      <c r="J111" s="48">
        <v>185</v>
      </c>
      <c r="K111" s="53">
        <f>F111*8*150*2</f>
        <v>2400</v>
      </c>
      <c r="L111" s="53">
        <v>0</v>
      </c>
      <c r="M111" s="53">
        <f t="shared" si="31"/>
        <v>2400</v>
      </c>
      <c r="N111" s="48"/>
      <c r="O111" s="49" t="s">
        <v>352</v>
      </c>
      <c r="P111" s="93"/>
    </row>
    <row r="112" spans="1:16" s="94" customFormat="1" ht="121.5" customHeight="1">
      <c r="A112" s="48">
        <f>0.01+A111</f>
        <v>5.1099999999999994</v>
      </c>
      <c r="B112" s="38" t="s">
        <v>240</v>
      </c>
      <c r="C112" s="38" t="s">
        <v>52</v>
      </c>
      <c r="D112" s="48" t="s">
        <v>43</v>
      </c>
      <c r="E112" s="48"/>
      <c r="F112" s="48">
        <v>2</v>
      </c>
      <c r="G112" s="48"/>
      <c r="H112" s="48">
        <v>1</v>
      </c>
      <c r="I112" s="48"/>
      <c r="J112" s="48">
        <v>185</v>
      </c>
      <c r="K112" s="53">
        <f>F112*8*150*2</f>
        <v>4800</v>
      </c>
      <c r="L112" s="53">
        <v>0</v>
      </c>
      <c r="M112" s="53">
        <f t="shared" si="31"/>
        <v>4800</v>
      </c>
      <c r="N112" s="48"/>
      <c r="O112" s="49" t="s">
        <v>244</v>
      </c>
      <c r="P112" s="93"/>
    </row>
    <row r="113" spans="1:16" s="94" customFormat="1" ht="47.25">
      <c r="A113" s="48">
        <f>0.01+A112</f>
        <v>5.1199999999999992</v>
      </c>
      <c r="B113" s="38" t="s">
        <v>350</v>
      </c>
      <c r="C113" s="38"/>
      <c r="D113" s="48" t="s">
        <v>43</v>
      </c>
      <c r="E113" s="48"/>
      <c r="F113" s="48">
        <v>1</v>
      </c>
      <c r="G113" s="48"/>
      <c r="H113" s="48">
        <v>1</v>
      </c>
      <c r="I113" s="48"/>
      <c r="J113" s="48">
        <v>185</v>
      </c>
      <c r="K113" s="53">
        <f>F113*8*150*3</f>
        <v>3600</v>
      </c>
      <c r="L113" s="53">
        <v>0</v>
      </c>
      <c r="M113" s="53">
        <f t="shared" si="31"/>
        <v>3600</v>
      </c>
      <c r="N113" s="48"/>
      <c r="O113" s="49" t="s">
        <v>351</v>
      </c>
      <c r="P113" s="93"/>
    </row>
    <row r="114" spans="1:16" s="94" customFormat="1" ht="15.75">
      <c r="A114" s="48">
        <v>6</v>
      </c>
      <c r="B114" s="92" t="s">
        <v>173</v>
      </c>
      <c r="C114" s="49"/>
      <c r="D114" s="105"/>
      <c r="E114" s="105"/>
      <c r="F114" s="48"/>
      <c r="G114" s="48"/>
      <c r="H114" s="20">
        <f>SUM(H115)</f>
        <v>1</v>
      </c>
      <c r="I114" s="20">
        <f t="shared" ref="I114:M114" si="32">SUM(I115)</f>
        <v>0</v>
      </c>
      <c r="J114" s="20">
        <f t="shared" si="32"/>
        <v>0</v>
      </c>
      <c r="K114" s="98">
        <f t="shared" si="32"/>
        <v>2400</v>
      </c>
      <c r="L114" s="98">
        <f t="shared" si="32"/>
        <v>0</v>
      </c>
      <c r="M114" s="98">
        <f t="shared" si="32"/>
        <v>2400</v>
      </c>
      <c r="N114" s="48"/>
      <c r="O114" s="49"/>
      <c r="P114" s="93"/>
    </row>
    <row r="115" spans="1:16" s="94" customFormat="1" ht="31.5">
      <c r="A115" s="48" t="s">
        <v>50</v>
      </c>
      <c r="B115" s="38" t="s">
        <v>49</v>
      </c>
      <c r="C115" s="38" t="s">
        <v>48</v>
      </c>
      <c r="D115" s="48" t="s">
        <v>47</v>
      </c>
      <c r="E115" s="48"/>
      <c r="F115" s="48">
        <v>2</v>
      </c>
      <c r="G115" s="48"/>
      <c r="H115" s="48">
        <v>1</v>
      </c>
      <c r="I115" s="48" t="s">
        <v>8</v>
      </c>
      <c r="J115" s="48" t="s">
        <v>8</v>
      </c>
      <c r="K115" s="53">
        <f t="shared" ref="K115" si="33">(F115*8*150)*H115</f>
        <v>2400</v>
      </c>
      <c r="L115" s="53">
        <v>0</v>
      </c>
      <c r="M115" s="53">
        <f t="shared" ref="M115" si="34">K115+L115</f>
        <v>2400</v>
      </c>
      <c r="N115" s="48"/>
      <c r="O115" s="49"/>
      <c r="P115" s="93"/>
    </row>
    <row r="116" spans="1:16" s="93" customFormat="1" ht="15.75">
      <c r="A116" s="20" t="s">
        <v>46</v>
      </c>
      <c r="B116" s="107" t="s">
        <v>45</v>
      </c>
      <c r="C116" s="108"/>
      <c r="D116" s="48"/>
      <c r="E116" s="48"/>
      <c r="F116" s="48"/>
      <c r="G116" s="48"/>
      <c r="H116" s="20">
        <f>H117+H119+H126+H128</f>
        <v>4</v>
      </c>
      <c r="I116" s="20"/>
      <c r="J116" s="20">
        <f t="shared" ref="J116:M116" si="35">J117+J119+J126+J128</f>
        <v>29</v>
      </c>
      <c r="K116" s="31">
        <f t="shared" si="35"/>
        <v>106640</v>
      </c>
      <c r="L116" s="98">
        <f t="shared" si="35"/>
        <v>0</v>
      </c>
      <c r="M116" s="98">
        <f t="shared" si="35"/>
        <v>106640</v>
      </c>
      <c r="N116" s="48"/>
      <c r="O116" s="49"/>
    </row>
    <row r="117" spans="1:16" s="93" customFormat="1" ht="15.75">
      <c r="A117" s="20">
        <v>1</v>
      </c>
      <c r="B117" s="92" t="s">
        <v>176</v>
      </c>
      <c r="C117" s="108"/>
      <c r="D117" s="20"/>
      <c r="E117" s="20"/>
      <c r="F117" s="20"/>
      <c r="G117" s="48"/>
      <c r="H117" s="20">
        <f>SUM(H118)</f>
        <v>1</v>
      </c>
      <c r="I117" s="20">
        <f t="shared" ref="I117:M117" si="36">SUM(I118)</f>
        <v>0</v>
      </c>
      <c r="J117" s="20">
        <f t="shared" si="36"/>
        <v>0</v>
      </c>
      <c r="K117" s="31">
        <f t="shared" si="36"/>
        <v>58640</v>
      </c>
      <c r="L117" s="98">
        <f t="shared" si="36"/>
        <v>0</v>
      </c>
      <c r="M117" s="98">
        <f t="shared" si="36"/>
        <v>58640</v>
      </c>
      <c r="N117" s="48"/>
      <c r="O117" s="49"/>
    </row>
    <row r="118" spans="1:16" s="94" customFormat="1" ht="31.5">
      <c r="A118" s="48">
        <v>1.1000000000000001</v>
      </c>
      <c r="B118" s="95" t="s">
        <v>21</v>
      </c>
      <c r="C118" s="49" t="s">
        <v>44</v>
      </c>
      <c r="D118" s="48" t="s">
        <v>43</v>
      </c>
      <c r="E118" s="48"/>
      <c r="F118" s="48">
        <v>23</v>
      </c>
      <c r="G118" s="48">
        <v>97</v>
      </c>
      <c r="H118" s="48">
        <v>1</v>
      </c>
      <c r="I118" s="48" t="s">
        <v>8</v>
      </c>
      <c r="J118" s="48" t="s">
        <v>8</v>
      </c>
      <c r="K118" s="53">
        <f>F118*8*150+G118*8*40</f>
        <v>58640</v>
      </c>
      <c r="L118" s="53">
        <v>0</v>
      </c>
      <c r="M118" s="53">
        <f>K118+L118</f>
        <v>58640</v>
      </c>
      <c r="N118" s="48"/>
      <c r="O118" s="49" t="s">
        <v>255</v>
      </c>
      <c r="P118" s="93"/>
    </row>
    <row r="119" spans="1:16" s="93" customFormat="1" ht="15.75">
      <c r="A119" s="20">
        <v>2</v>
      </c>
      <c r="B119" s="92" t="s">
        <v>156</v>
      </c>
      <c r="C119" s="48"/>
      <c r="D119" s="48"/>
      <c r="E119" s="48"/>
      <c r="F119" s="48"/>
      <c r="G119" s="48"/>
      <c r="H119" s="20">
        <f>SUM(H120:H125)</f>
        <v>1</v>
      </c>
      <c r="I119" s="20"/>
      <c r="J119" s="20">
        <f t="shared" ref="J119:L119" si="37">SUM(J120:J125)</f>
        <v>29</v>
      </c>
      <c r="K119" s="31">
        <f t="shared" si="37"/>
        <v>36000</v>
      </c>
      <c r="L119" s="109">
        <f t="shared" si="37"/>
        <v>0</v>
      </c>
      <c r="M119" s="31">
        <f>SUM(M120:M125)</f>
        <v>36000</v>
      </c>
      <c r="N119" s="48"/>
      <c r="O119" s="49"/>
    </row>
    <row r="120" spans="1:16" s="94" customFormat="1" ht="15.75">
      <c r="A120" s="48" t="s">
        <v>42</v>
      </c>
      <c r="B120" s="95" t="s">
        <v>41</v>
      </c>
      <c r="C120" s="49" t="s">
        <v>40</v>
      </c>
      <c r="D120" s="48" t="s">
        <v>24</v>
      </c>
      <c r="E120" s="48"/>
      <c r="F120" s="48">
        <v>5</v>
      </c>
      <c r="G120" s="48"/>
      <c r="H120" s="100">
        <v>1</v>
      </c>
      <c r="I120" s="48"/>
      <c r="J120" s="48">
        <v>5</v>
      </c>
      <c r="K120" s="101">
        <f>3*8*150*2+2*8*150*2*6</f>
        <v>36000</v>
      </c>
      <c r="L120" s="101">
        <v>0</v>
      </c>
      <c r="M120" s="101">
        <f>K120+L120</f>
        <v>36000</v>
      </c>
      <c r="N120" s="100"/>
      <c r="O120" s="103" t="s">
        <v>252</v>
      </c>
      <c r="P120" s="93"/>
    </row>
    <row r="121" spans="1:16" s="94" customFormat="1" ht="18" customHeight="1">
      <c r="A121" s="48" t="s">
        <v>39</v>
      </c>
      <c r="B121" s="95" t="s">
        <v>38</v>
      </c>
      <c r="C121" s="49" t="s">
        <v>37</v>
      </c>
      <c r="D121" s="48" t="s">
        <v>24</v>
      </c>
      <c r="E121" s="48"/>
      <c r="F121" s="48">
        <v>5</v>
      </c>
      <c r="G121" s="48"/>
      <c r="H121" s="100"/>
      <c r="I121" s="48"/>
      <c r="J121" s="48">
        <v>4</v>
      </c>
      <c r="K121" s="101"/>
      <c r="L121" s="101"/>
      <c r="M121" s="101"/>
      <c r="N121" s="100"/>
      <c r="O121" s="103"/>
      <c r="P121" s="93"/>
    </row>
    <row r="122" spans="1:16" s="94" customFormat="1" ht="18" customHeight="1">
      <c r="A122" s="48" t="s">
        <v>36</v>
      </c>
      <c r="B122" s="95" t="s">
        <v>35</v>
      </c>
      <c r="C122" s="49" t="s">
        <v>34</v>
      </c>
      <c r="D122" s="48" t="s">
        <v>24</v>
      </c>
      <c r="E122" s="48"/>
      <c r="F122" s="48">
        <v>5</v>
      </c>
      <c r="G122" s="48"/>
      <c r="H122" s="100"/>
      <c r="I122" s="48"/>
      <c r="J122" s="48">
        <v>5</v>
      </c>
      <c r="K122" s="101"/>
      <c r="L122" s="101"/>
      <c r="M122" s="101"/>
      <c r="N122" s="100"/>
      <c r="O122" s="103"/>
      <c r="P122" s="93"/>
    </row>
    <row r="123" spans="1:16" s="94" customFormat="1" ht="18" customHeight="1">
      <c r="A123" s="48" t="s">
        <v>33</v>
      </c>
      <c r="B123" s="95" t="s">
        <v>32</v>
      </c>
      <c r="C123" s="49" t="s">
        <v>31</v>
      </c>
      <c r="D123" s="48" t="s">
        <v>24</v>
      </c>
      <c r="E123" s="48"/>
      <c r="F123" s="48">
        <v>5</v>
      </c>
      <c r="G123" s="48"/>
      <c r="H123" s="100"/>
      <c r="I123" s="48"/>
      <c r="J123" s="48">
        <v>5</v>
      </c>
      <c r="K123" s="101"/>
      <c r="L123" s="101"/>
      <c r="M123" s="101"/>
      <c r="N123" s="100"/>
      <c r="O123" s="103"/>
      <c r="P123" s="93"/>
    </row>
    <row r="124" spans="1:16" s="94" customFormat="1" ht="18" customHeight="1">
      <c r="A124" s="48" t="s">
        <v>30</v>
      </c>
      <c r="B124" s="95" t="s">
        <v>29</v>
      </c>
      <c r="C124" s="49" t="s">
        <v>28</v>
      </c>
      <c r="D124" s="48" t="s">
        <v>24</v>
      </c>
      <c r="E124" s="48"/>
      <c r="F124" s="48">
        <v>5</v>
      </c>
      <c r="G124" s="48"/>
      <c r="H124" s="100"/>
      <c r="I124" s="48"/>
      <c r="J124" s="48">
        <v>5</v>
      </c>
      <c r="K124" s="101"/>
      <c r="L124" s="101"/>
      <c r="M124" s="101"/>
      <c r="N124" s="100"/>
      <c r="O124" s="103"/>
      <c r="P124" s="93"/>
    </row>
    <row r="125" spans="1:16" s="94" customFormat="1" ht="18" customHeight="1">
      <c r="A125" s="48" t="s">
        <v>27</v>
      </c>
      <c r="B125" s="95" t="s">
        <v>26</v>
      </c>
      <c r="C125" s="49" t="s">
        <v>25</v>
      </c>
      <c r="D125" s="48" t="s">
        <v>24</v>
      </c>
      <c r="E125" s="48"/>
      <c r="F125" s="48">
        <v>5</v>
      </c>
      <c r="G125" s="48"/>
      <c r="H125" s="100"/>
      <c r="I125" s="48"/>
      <c r="J125" s="48">
        <v>5</v>
      </c>
      <c r="K125" s="101"/>
      <c r="L125" s="101"/>
      <c r="M125" s="101"/>
      <c r="N125" s="100"/>
      <c r="O125" s="103"/>
      <c r="P125" s="93"/>
    </row>
    <row r="126" spans="1:16" s="94" customFormat="1" ht="19.5" customHeight="1">
      <c r="A126" s="20">
        <v>3</v>
      </c>
      <c r="B126" s="92" t="s">
        <v>163</v>
      </c>
      <c r="C126" s="110"/>
      <c r="D126" s="48"/>
      <c r="E126" s="48"/>
      <c r="F126" s="48"/>
      <c r="G126" s="48"/>
      <c r="H126" s="20">
        <f>SUM(H127)</f>
        <v>1</v>
      </c>
      <c r="I126" s="20"/>
      <c r="J126" s="20">
        <f t="shared" ref="J126:M126" si="38">SUM(J127)</f>
        <v>0</v>
      </c>
      <c r="K126" s="31">
        <f t="shared" si="38"/>
        <v>6000</v>
      </c>
      <c r="L126" s="98">
        <f t="shared" si="38"/>
        <v>0</v>
      </c>
      <c r="M126" s="98">
        <f t="shared" si="38"/>
        <v>6000</v>
      </c>
      <c r="N126" s="48"/>
      <c r="O126" s="49"/>
      <c r="P126" s="93"/>
    </row>
    <row r="127" spans="1:16" s="94" customFormat="1" ht="36.75" customHeight="1">
      <c r="A127" s="48">
        <v>3.1</v>
      </c>
      <c r="B127" s="49" t="s">
        <v>163</v>
      </c>
      <c r="C127" s="50" t="s">
        <v>177</v>
      </c>
      <c r="D127" s="48" t="s">
        <v>178</v>
      </c>
      <c r="E127" s="48"/>
      <c r="F127" s="48">
        <v>5</v>
      </c>
      <c r="G127" s="48"/>
      <c r="H127" s="48">
        <v>1</v>
      </c>
      <c r="I127" s="48" t="s">
        <v>8</v>
      </c>
      <c r="J127" s="48" t="s">
        <v>8</v>
      </c>
      <c r="K127" s="53">
        <f>F127*8*150</f>
        <v>6000</v>
      </c>
      <c r="L127" s="53">
        <v>0</v>
      </c>
      <c r="M127" s="53">
        <f>K127+L127</f>
        <v>6000</v>
      </c>
      <c r="N127" s="48"/>
      <c r="O127" s="49" t="s">
        <v>254</v>
      </c>
      <c r="P127" s="93"/>
    </row>
    <row r="128" spans="1:16" s="94" customFormat="1" ht="37.5" customHeight="1">
      <c r="A128" s="20">
        <v>4</v>
      </c>
      <c r="B128" s="97" t="s">
        <v>164</v>
      </c>
      <c r="C128" s="97"/>
      <c r="D128" s="48"/>
      <c r="E128" s="48"/>
      <c r="F128" s="48"/>
      <c r="G128" s="48"/>
      <c r="H128" s="20">
        <f>SUM(H129)</f>
        <v>1</v>
      </c>
      <c r="I128" s="20"/>
      <c r="J128" s="20">
        <f t="shared" ref="J128:M128" si="39">SUM(J129)</f>
        <v>0</v>
      </c>
      <c r="K128" s="31">
        <f t="shared" si="39"/>
        <v>6000</v>
      </c>
      <c r="L128" s="98">
        <f t="shared" si="39"/>
        <v>0</v>
      </c>
      <c r="M128" s="98">
        <f t="shared" si="39"/>
        <v>6000</v>
      </c>
      <c r="N128" s="48"/>
      <c r="O128" s="49"/>
      <c r="P128" s="93" t="s">
        <v>353</v>
      </c>
    </row>
    <row r="129" spans="1:157" s="94" customFormat="1" ht="37.5" customHeight="1">
      <c r="A129" s="20">
        <v>4.0999999999999996</v>
      </c>
      <c r="B129" s="95" t="s">
        <v>179</v>
      </c>
      <c r="C129" s="95" t="s">
        <v>180</v>
      </c>
      <c r="D129" s="48" t="s">
        <v>167</v>
      </c>
      <c r="E129" s="48"/>
      <c r="F129" s="48">
        <v>5</v>
      </c>
      <c r="G129" s="48"/>
      <c r="H129" s="48">
        <v>1</v>
      </c>
      <c r="I129" s="48" t="s">
        <v>8</v>
      </c>
      <c r="J129" s="51" t="s">
        <v>130</v>
      </c>
      <c r="K129" s="53">
        <f>F129*8*150</f>
        <v>6000</v>
      </c>
      <c r="L129" s="53">
        <v>0</v>
      </c>
      <c r="M129" s="53">
        <f>K129+L129</f>
        <v>6000</v>
      </c>
      <c r="N129" s="48"/>
      <c r="O129" s="49" t="s">
        <v>254</v>
      </c>
      <c r="P129" s="93"/>
    </row>
    <row r="130" spans="1:157">
      <c r="A130" s="27" t="s">
        <v>23</v>
      </c>
      <c r="B130" s="33" t="s">
        <v>22</v>
      </c>
      <c r="C130" s="34"/>
      <c r="D130" s="29"/>
      <c r="E130" s="29"/>
      <c r="F130" s="29"/>
      <c r="G130" s="29"/>
      <c r="H130" s="30">
        <f>H131+H141+H147+H148+H149</f>
        <v>49</v>
      </c>
      <c r="I130" s="30"/>
      <c r="J130" s="87">
        <f>J131+J141+J147+J148+J149</f>
        <v>326</v>
      </c>
      <c r="K130" s="31">
        <f>K131+K141+K147+K148+K149</f>
        <v>516293.33333333331</v>
      </c>
      <c r="L130" s="31">
        <f>L131+L141+L147+L148+L149</f>
        <v>0</v>
      </c>
      <c r="M130" s="31">
        <f>M131+M141+M147+M148+M149</f>
        <v>516293.33333333331</v>
      </c>
      <c r="N130" s="59"/>
      <c r="O130" s="37"/>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row>
    <row r="131" spans="1:157">
      <c r="A131" s="27">
        <v>1</v>
      </c>
      <c r="B131" s="57" t="s">
        <v>181</v>
      </c>
      <c r="C131" s="58"/>
      <c r="D131" s="60"/>
      <c r="E131" s="60"/>
      <c r="F131" s="29"/>
      <c r="G131" s="29"/>
      <c r="H131" s="111">
        <f>SUM(H132:H140)</f>
        <v>9</v>
      </c>
      <c r="I131" s="111"/>
      <c r="J131" s="111">
        <f t="shared" ref="J131:M131" si="40">SUM(J132:J140)</f>
        <v>15</v>
      </c>
      <c r="K131" s="104">
        <f t="shared" si="40"/>
        <v>331493.33333333331</v>
      </c>
      <c r="L131" s="104">
        <f t="shared" si="40"/>
        <v>0</v>
      </c>
      <c r="M131" s="104">
        <f t="shared" si="40"/>
        <v>331493.33333333331</v>
      </c>
      <c r="N131" s="46"/>
      <c r="O131" s="61"/>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row>
    <row r="132" spans="1:157" ht="31.5">
      <c r="A132" s="29">
        <v>1.1000000000000001</v>
      </c>
      <c r="B132" s="112" t="s">
        <v>182</v>
      </c>
      <c r="C132" s="113" t="s">
        <v>183</v>
      </c>
      <c r="D132" s="105" t="s">
        <v>17</v>
      </c>
      <c r="E132" s="105"/>
      <c r="F132" s="114">
        <v>13</v>
      </c>
      <c r="G132" s="114">
        <v>50</v>
      </c>
      <c r="H132" s="29">
        <v>1</v>
      </c>
      <c r="I132" s="29" t="s">
        <v>8</v>
      </c>
      <c r="J132" s="29" t="s">
        <v>8</v>
      </c>
      <c r="K132" s="96">
        <f>F132*8*150*H132+G132*8*40</f>
        <v>31600</v>
      </c>
      <c r="L132" s="96">
        <v>0</v>
      </c>
      <c r="M132" s="96">
        <f t="shared" ref="M132:M140" si="41">L132+K132</f>
        <v>31600</v>
      </c>
      <c r="N132" s="29" t="s">
        <v>184</v>
      </c>
      <c r="O132" s="29" t="s">
        <v>185</v>
      </c>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row>
    <row r="133" spans="1:157" ht="31.5">
      <c r="A133" s="29">
        <f>0.1+A132</f>
        <v>1.2000000000000002</v>
      </c>
      <c r="B133" s="112" t="s">
        <v>186</v>
      </c>
      <c r="C133" s="113" t="s">
        <v>183</v>
      </c>
      <c r="D133" s="105" t="s">
        <v>17</v>
      </c>
      <c r="E133" s="105"/>
      <c r="F133" s="114">
        <v>13</v>
      </c>
      <c r="G133" s="114">
        <v>107</v>
      </c>
      <c r="H133" s="29">
        <v>1</v>
      </c>
      <c r="I133" s="29" t="s">
        <v>8</v>
      </c>
      <c r="J133" s="29" t="s">
        <v>8</v>
      </c>
      <c r="K133" s="96">
        <f t="shared" ref="K133:K136" si="42">F133*8*150*H133+G133*8*40</f>
        <v>49840</v>
      </c>
      <c r="L133" s="96">
        <v>0</v>
      </c>
      <c r="M133" s="96">
        <f t="shared" si="41"/>
        <v>49840</v>
      </c>
      <c r="N133" s="29" t="s">
        <v>184</v>
      </c>
      <c r="O133" s="29" t="s">
        <v>185</v>
      </c>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row>
    <row r="134" spans="1:157" ht="31.5">
      <c r="A134" s="29">
        <f t="shared" ref="A134:A140" si="43">0.1+A133</f>
        <v>1.3000000000000003</v>
      </c>
      <c r="B134" s="112" t="s">
        <v>187</v>
      </c>
      <c r="C134" s="113" t="s">
        <v>183</v>
      </c>
      <c r="D134" s="105" t="s">
        <v>17</v>
      </c>
      <c r="E134" s="105"/>
      <c r="F134" s="114">
        <v>10</v>
      </c>
      <c r="G134" s="114">
        <v>50</v>
      </c>
      <c r="H134" s="114">
        <v>1</v>
      </c>
      <c r="I134" s="29" t="s">
        <v>8</v>
      </c>
      <c r="J134" s="29" t="s">
        <v>8</v>
      </c>
      <c r="K134" s="96">
        <f t="shared" si="42"/>
        <v>28000</v>
      </c>
      <c r="L134" s="115">
        <v>0</v>
      </c>
      <c r="M134" s="96">
        <f t="shared" si="41"/>
        <v>28000</v>
      </c>
      <c r="N134" s="29" t="s">
        <v>184</v>
      </c>
      <c r="O134" s="29" t="s">
        <v>185</v>
      </c>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row>
    <row r="135" spans="1:157" ht="31.5">
      <c r="A135" s="29">
        <f t="shared" si="43"/>
        <v>1.4000000000000004</v>
      </c>
      <c r="B135" s="112" t="s">
        <v>188</v>
      </c>
      <c r="C135" s="113" t="s">
        <v>183</v>
      </c>
      <c r="D135" s="105" t="s">
        <v>17</v>
      </c>
      <c r="E135" s="105"/>
      <c r="F135" s="114">
        <v>10</v>
      </c>
      <c r="G135" s="114">
        <v>50</v>
      </c>
      <c r="H135" s="114">
        <v>1</v>
      </c>
      <c r="I135" s="29" t="s">
        <v>8</v>
      </c>
      <c r="J135" s="29" t="s">
        <v>8</v>
      </c>
      <c r="K135" s="96">
        <f t="shared" si="42"/>
        <v>28000</v>
      </c>
      <c r="L135" s="96">
        <v>0</v>
      </c>
      <c r="M135" s="96">
        <f t="shared" si="41"/>
        <v>28000</v>
      </c>
      <c r="N135" s="29" t="s">
        <v>184</v>
      </c>
      <c r="O135" s="29" t="s">
        <v>185</v>
      </c>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row>
    <row r="136" spans="1:157" ht="31.5">
      <c r="A136" s="29">
        <f t="shared" si="43"/>
        <v>1.5000000000000004</v>
      </c>
      <c r="B136" s="112" t="s">
        <v>189</v>
      </c>
      <c r="C136" s="113" t="s">
        <v>183</v>
      </c>
      <c r="D136" s="105" t="s">
        <v>17</v>
      </c>
      <c r="E136" s="105"/>
      <c r="F136" s="114">
        <v>13</v>
      </c>
      <c r="G136" s="114">
        <v>107</v>
      </c>
      <c r="H136" s="114">
        <v>1</v>
      </c>
      <c r="I136" s="29" t="s">
        <v>8</v>
      </c>
      <c r="J136" s="29" t="s">
        <v>8</v>
      </c>
      <c r="K136" s="96">
        <f t="shared" si="42"/>
        <v>49840</v>
      </c>
      <c r="L136" s="115">
        <v>0</v>
      </c>
      <c r="M136" s="96">
        <f t="shared" si="41"/>
        <v>49840</v>
      </c>
      <c r="N136" s="29" t="s">
        <v>184</v>
      </c>
      <c r="O136" s="29" t="s">
        <v>185</v>
      </c>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row>
    <row r="137" spans="1:157" ht="31.5">
      <c r="A137" s="29">
        <f t="shared" si="43"/>
        <v>1.6000000000000005</v>
      </c>
      <c r="B137" s="112" t="s">
        <v>189</v>
      </c>
      <c r="C137" s="113" t="s">
        <v>381</v>
      </c>
      <c r="D137" s="105" t="s">
        <v>17</v>
      </c>
      <c r="E137" s="105"/>
      <c r="F137" s="114">
        <v>0</v>
      </c>
      <c r="G137" s="114">
        <v>107</v>
      </c>
      <c r="H137" s="114">
        <v>1</v>
      </c>
      <c r="I137" s="29">
        <v>7</v>
      </c>
      <c r="J137" s="29">
        <v>7</v>
      </c>
      <c r="K137" s="96">
        <f>2/3*G137*8*40*2</f>
        <v>45653.333333333328</v>
      </c>
      <c r="L137" s="115"/>
      <c r="M137" s="96">
        <f t="shared" si="41"/>
        <v>45653.333333333328</v>
      </c>
      <c r="N137" s="29"/>
      <c r="O137" s="29" t="s">
        <v>372</v>
      </c>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row>
    <row r="138" spans="1:157" ht="31.5">
      <c r="A138" s="29">
        <f t="shared" si="43"/>
        <v>1.7000000000000006</v>
      </c>
      <c r="B138" s="112" t="s">
        <v>367</v>
      </c>
      <c r="C138" s="114" t="s">
        <v>377</v>
      </c>
      <c r="D138" s="105" t="s">
        <v>368</v>
      </c>
      <c r="E138" s="105"/>
      <c r="F138" s="114">
        <v>0</v>
      </c>
      <c r="G138" s="114">
        <v>51</v>
      </c>
      <c r="H138" s="114">
        <v>1</v>
      </c>
      <c r="I138" s="29">
        <v>5</v>
      </c>
      <c r="J138" s="29">
        <v>5</v>
      </c>
      <c r="K138" s="96">
        <f>G138*8*40*3</f>
        <v>48960</v>
      </c>
      <c r="L138" s="115">
        <v>0</v>
      </c>
      <c r="M138" s="96">
        <f t="shared" si="41"/>
        <v>48960</v>
      </c>
      <c r="N138" s="29"/>
      <c r="O138" s="29" t="s">
        <v>370</v>
      </c>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row>
    <row r="139" spans="1:157" ht="31.5">
      <c r="A139" s="29">
        <f t="shared" si="43"/>
        <v>1.8000000000000007</v>
      </c>
      <c r="B139" s="112" t="s">
        <v>186</v>
      </c>
      <c r="C139" s="114" t="s">
        <v>379</v>
      </c>
      <c r="D139" s="105" t="s">
        <v>369</v>
      </c>
      <c r="E139" s="105"/>
      <c r="F139" s="114">
        <v>0</v>
      </c>
      <c r="G139" s="114">
        <v>107</v>
      </c>
      <c r="H139" s="114">
        <v>1</v>
      </c>
      <c r="I139" s="29">
        <v>1</v>
      </c>
      <c r="J139" s="29">
        <v>1</v>
      </c>
      <c r="K139" s="96">
        <f>G139*8*40</f>
        <v>34240</v>
      </c>
      <c r="L139" s="115">
        <v>0</v>
      </c>
      <c r="M139" s="96">
        <f t="shared" si="41"/>
        <v>34240</v>
      </c>
      <c r="N139" s="29"/>
      <c r="O139" s="29" t="s">
        <v>382</v>
      </c>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row>
    <row r="140" spans="1:157" ht="31.5">
      <c r="A140" s="29">
        <f t="shared" si="43"/>
        <v>1.9000000000000008</v>
      </c>
      <c r="B140" s="112" t="s">
        <v>182</v>
      </c>
      <c r="C140" s="114" t="s">
        <v>380</v>
      </c>
      <c r="D140" s="105" t="s">
        <v>371</v>
      </c>
      <c r="E140" s="105"/>
      <c r="F140" s="114">
        <v>0</v>
      </c>
      <c r="G140" s="114">
        <v>48</v>
      </c>
      <c r="H140" s="114">
        <v>1</v>
      </c>
      <c r="I140" s="29">
        <v>2</v>
      </c>
      <c r="J140" s="29">
        <v>2</v>
      </c>
      <c r="K140" s="96">
        <f>G140*8*40</f>
        <v>15360</v>
      </c>
      <c r="L140" s="115">
        <v>0</v>
      </c>
      <c r="M140" s="96">
        <f t="shared" si="41"/>
        <v>15360</v>
      </c>
      <c r="N140" s="29"/>
      <c r="O140" s="29" t="s">
        <v>378</v>
      </c>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row>
    <row r="141" spans="1:157">
      <c r="A141" s="27">
        <v>2</v>
      </c>
      <c r="B141" s="57" t="s">
        <v>20</v>
      </c>
      <c r="C141" s="60"/>
      <c r="D141" s="60"/>
      <c r="E141" s="60"/>
      <c r="F141" s="29"/>
      <c r="G141" s="29"/>
      <c r="H141" s="111">
        <f>SUM(H142:H146)</f>
        <v>6</v>
      </c>
      <c r="I141" s="111"/>
      <c r="J141" s="111">
        <f>SUM(J142:J146)</f>
        <v>17</v>
      </c>
      <c r="K141" s="104">
        <f t="shared" ref="K141:M141" si="44">SUM(K142:K146)</f>
        <v>60000</v>
      </c>
      <c r="L141" s="104">
        <f t="shared" si="44"/>
        <v>0</v>
      </c>
      <c r="M141" s="104">
        <f t="shared" si="44"/>
        <v>60000</v>
      </c>
      <c r="N141" s="36"/>
      <c r="O141" s="61"/>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row>
    <row r="142" spans="1:157" ht="47.25">
      <c r="A142" s="29">
        <v>2.1</v>
      </c>
      <c r="B142" s="112" t="s">
        <v>190</v>
      </c>
      <c r="C142" s="112" t="s">
        <v>18</v>
      </c>
      <c r="D142" s="105" t="s">
        <v>17</v>
      </c>
      <c r="E142" s="105"/>
      <c r="F142" s="29">
        <v>7</v>
      </c>
      <c r="G142" s="29"/>
      <c r="H142" s="29">
        <v>1</v>
      </c>
      <c r="I142" s="116">
        <v>7</v>
      </c>
      <c r="J142" s="116">
        <v>7</v>
      </c>
      <c r="K142" s="96">
        <f>F142*8*150*H142*2</f>
        <v>16800</v>
      </c>
      <c r="L142" s="45">
        <v>0</v>
      </c>
      <c r="M142" s="96">
        <f>L142+K142</f>
        <v>16800</v>
      </c>
      <c r="N142" s="29">
        <v>3</v>
      </c>
      <c r="O142" s="72" t="s">
        <v>401</v>
      </c>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row>
    <row r="143" spans="1:157" ht="31.5">
      <c r="A143" s="29">
        <v>2.2000000000000002</v>
      </c>
      <c r="B143" s="112" t="s">
        <v>191</v>
      </c>
      <c r="C143" s="112" t="s">
        <v>19</v>
      </c>
      <c r="D143" s="105" t="s">
        <v>17</v>
      </c>
      <c r="E143" s="105"/>
      <c r="F143" s="29">
        <v>7</v>
      </c>
      <c r="G143" s="29"/>
      <c r="H143" s="29">
        <v>1</v>
      </c>
      <c r="I143" s="116">
        <v>3</v>
      </c>
      <c r="J143" s="116">
        <v>3</v>
      </c>
      <c r="K143" s="96">
        <f>F143*8*150*H143</f>
        <v>8400</v>
      </c>
      <c r="L143" s="45">
        <v>0</v>
      </c>
      <c r="M143" s="96">
        <f>L143+K143</f>
        <v>8400</v>
      </c>
      <c r="N143" s="29">
        <v>4</v>
      </c>
      <c r="O143" s="72" t="s">
        <v>192</v>
      </c>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row>
    <row r="144" spans="1:157" ht="63">
      <c r="A144" s="29">
        <v>2.2999999999999998</v>
      </c>
      <c r="B144" s="112" t="s">
        <v>193</v>
      </c>
      <c r="C144" s="112" t="s">
        <v>194</v>
      </c>
      <c r="D144" s="105" t="s">
        <v>17</v>
      </c>
      <c r="E144" s="105"/>
      <c r="F144" s="29">
        <v>7</v>
      </c>
      <c r="G144" s="29"/>
      <c r="H144" s="29">
        <v>2</v>
      </c>
      <c r="I144" s="116">
        <v>2</v>
      </c>
      <c r="J144" s="116">
        <v>5</v>
      </c>
      <c r="K144" s="96">
        <f>F144*8*150*H144</f>
        <v>16800</v>
      </c>
      <c r="L144" s="45">
        <v>0</v>
      </c>
      <c r="M144" s="96">
        <f>L144+K144</f>
        <v>16800</v>
      </c>
      <c r="N144" s="29">
        <v>1</v>
      </c>
      <c r="O144" s="117" t="s">
        <v>195</v>
      </c>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row>
    <row r="145" spans="1:157" ht="31.5">
      <c r="A145" s="29">
        <v>2.4</v>
      </c>
      <c r="B145" s="112" t="s">
        <v>196</v>
      </c>
      <c r="C145" s="112" t="s">
        <v>197</v>
      </c>
      <c r="D145" s="105" t="s">
        <v>17</v>
      </c>
      <c r="E145" s="105"/>
      <c r="F145" s="29">
        <v>7</v>
      </c>
      <c r="G145" s="29"/>
      <c r="H145" s="29">
        <v>1</v>
      </c>
      <c r="I145" s="116">
        <v>1</v>
      </c>
      <c r="J145" s="116">
        <v>1</v>
      </c>
      <c r="K145" s="96">
        <f>F145*8*150</f>
        <v>8400</v>
      </c>
      <c r="L145" s="45">
        <v>0</v>
      </c>
      <c r="M145" s="96">
        <f t="shared" ref="M145:M146" si="45">L145+K145</f>
        <v>8400</v>
      </c>
      <c r="N145" s="29">
        <v>1</v>
      </c>
      <c r="O145" s="117" t="s">
        <v>198</v>
      </c>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row>
    <row r="146" spans="1:157" ht="31.5">
      <c r="A146" s="29">
        <v>2.5</v>
      </c>
      <c r="B146" s="112" t="s">
        <v>199</v>
      </c>
      <c r="C146" s="72" t="s">
        <v>200</v>
      </c>
      <c r="D146" s="105" t="s">
        <v>17</v>
      </c>
      <c r="E146" s="105"/>
      <c r="F146" s="29">
        <v>8</v>
      </c>
      <c r="G146" s="29"/>
      <c r="H146" s="29">
        <v>1</v>
      </c>
      <c r="I146" s="116">
        <v>1</v>
      </c>
      <c r="J146" s="116">
        <v>1</v>
      </c>
      <c r="K146" s="96">
        <f t="shared" ref="K146" si="46">F146*8*150*H146</f>
        <v>9600</v>
      </c>
      <c r="L146" s="45">
        <v>0</v>
      </c>
      <c r="M146" s="96">
        <f t="shared" si="45"/>
        <v>9600</v>
      </c>
      <c r="N146" s="29">
        <v>3</v>
      </c>
      <c r="O146" s="72" t="s">
        <v>201</v>
      </c>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row>
    <row r="147" spans="1:157" ht="15.75">
      <c r="A147" s="27">
        <v>3</v>
      </c>
      <c r="B147" s="57" t="s">
        <v>16</v>
      </c>
      <c r="C147" s="58"/>
      <c r="D147" s="60"/>
      <c r="E147" s="60"/>
      <c r="F147" s="29"/>
      <c r="G147" s="29"/>
      <c r="H147" s="27">
        <v>0</v>
      </c>
      <c r="I147" s="29"/>
      <c r="J147" s="118">
        <v>0</v>
      </c>
      <c r="K147" s="104">
        <v>0</v>
      </c>
      <c r="L147" s="104">
        <v>0</v>
      </c>
      <c r="M147" s="104">
        <v>0</v>
      </c>
      <c r="N147" s="46"/>
      <c r="O147" s="119"/>
    </row>
    <row r="148" spans="1:157" ht="15.75">
      <c r="A148" s="27">
        <v>4</v>
      </c>
      <c r="B148" s="57" t="s">
        <v>15</v>
      </c>
      <c r="C148" s="58"/>
      <c r="D148" s="60"/>
      <c r="E148" s="60"/>
      <c r="F148" s="29"/>
      <c r="G148" s="29"/>
      <c r="H148" s="27">
        <v>0</v>
      </c>
      <c r="I148" s="29"/>
      <c r="J148" s="118">
        <v>0</v>
      </c>
      <c r="K148" s="104">
        <v>0</v>
      </c>
      <c r="L148" s="104">
        <v>0</v>
      </c>
      <c r="M148" s="104">
        <v>0</v>
      </c>
      <c r="N148" s="46"/>
      <c r="O148" s="37"/>
    </row>
    <row r="149" spans="1:157" ht="31.5">
      <c r="A149" s="27">
        <v>5</v>
      </c>
      <c r="B149" s="47" t="s">
        <v>14</v>
      </c>
      <c r="C149" s="47"/>
      <c r="D149" s="60"/>
      <c r="E149" s="60"/>
      <c r="F149" s="29"/>
      <c r="G149" s="29"/>
      <c r="H149" s="111">
        <f>SUM(H150:H166)</f>
        <v>34</v>
      </c>
      <c r="I149" s="111"/>
      <c r="J149" s="111">
        <f t="shared" ref="J149:M149" si="47">SUM(J150:J166)</f>
        <v>294</v>
      </c>
      <c r="K149" s="104">
        <f t="shared" si="47"/>
        <v>124800</v>
      </c>
      <c r="L149" s="104">
        <f t="shared" si="47"/>
        <v>0</v>
      </c>
      <c r="M149" s="104">
        <f t="shared" si="47"/>
        <v>124800</v>
      </c>
      <c r="N149" s="46"/>
      <c r="O149" s="120"/>
    </row>
    <row r="150" spans="1:157" s="123" customFormat="1" ht="31.5">
      <c r="A150" s="48">
        <v>5.0999999999999996</v>
      </c>
      <c r="B150" s="49" t="s">
        <v>202</v>
      </c>
      <c r="C150" s="50" t="s">
        <v>12</v>
      </c>
      <c r="D150" s="50" t="s">
        <v>9</v>
      </c>
      <c r="E150" s="50"/>
      <c r="F150" s="48">
        <v>2</v>
      </c>
      <c r="G150" s="48"/>
      <c r="H150" s="48">
        <v>2</v>
      </c>
      <c r="I150" s="48">
        <v>7</v>
      </c>
      <c r="J150" s="51">
        <v>14</v>
      </c>
      <c r="K150" s="121">
        <f t="shared" ref="K150:K158" si="48">F150*8*150*H150</f>
        <v>4800</v>
      </c>
      <c r="L150" s="70">
        <v>0</v>
      </c>
      <c r="M150" s="122">
        <f t="shared" ref="M150:M166" si="49">K150+L150</f>
        <v>4800</v>
      </c>
      <c r="N150" s="46">
        <v>5</v>
      </c>
      <c r="O150" s="29" t="s">
        <v>203</v>
      </c>
    </row>
    <row r="151" spans="1:157" s="123" customFormat="1" ht="47.25">
      <c r="A151" s="48">
        <f>0.1+A150</f>
        <v>5.1999999999999993</v>
      </c>
      <c r="B151" s="49" t="s">
        <v>204</v>
      </c>
      <c r="C151" s="50" t="s">
        <v>205</v>
      </c>
      <c r="D151" s="50" t="s">
        <v>9</v>
      </c>
      <c r="E151" s="50"/>
      <c r="F151" s="48">
        <v>2</v>
      </c>
      <c r="G151" s="48"/>
      <c r="H151" s="48">
        <v>2</v>
      </c>
      <c r="I151" s="48">
        <v>16</v>
      </c>
      <c r="J151" s="51">
        <f>H151*I151</f>
        <v>32</v>
      </c>
      <c r="K151" s="121">
        <f t="shared" si="48"/>
        <v>4800</v>
      </c>
      <c r="L151" s="70">
        <v>0</v>
      </c>
      <c r="M151" s="122">
        <f t="shared" si="49"/>
        <v>4800</v>
      </c>
      <c r="N151" s="124">
        <v>5</v>
      </c>
      <c r="O151" s="29" t="s">
        <v>203</v>
      </c>
    </row>
    <row r="152" spans="1:157" s="123" customFormat="1" ht="47.25">
      <c r="A152" s="48">
        <f t="shared" ref="A152:A163" si="50">0.1+A151</f>
        <v>5.2999999999999989</v>
      </c>
      <c r="B152" s="49" t="s">
        <v>206</v>
      </c>
      <c r="C152" s="50" t="s">
        <v>205</v>
      </c>
      <c r="D152" s="50" t="s">
        <v>9</v>
      </c>
      <c r="E152" s="50"/>
      <c r="F152" s="48">
        <v>2</v>
      </c>
      <c r="G152" s="48"/>
      <c r="H152" s="48">
        <v>2</v>
      </c>
      <c r="I152" s="48">
        <v>15</v>
      </c>
      <c r="J152" s="51">
        <v>30</v>
      </c>
      <c r="K152" s="121">
        <f t="shared" si="48"/>
        <v>4800</v>
      </c>
      <c r="L152" s="70">
        <v>0</v>
      </c>
      <c r="M152" s="122">
        <f t="shared" si="49"/>
        <v>4800</v>
      </c>
      <c r="N152" s="124">
        <v>5</v>
      </c>
      <c r="O152" s="29" t="s">
        <v>203</v>
      </c>
    </row>
    <row r="153" spans="1:157" s="123" customFormat="1" ht="47.25">
      <c r="A153" s="48">
        <f t="shared" si="50"/>
        <v>5.3999999999999986</v>
      </c>
      <c r="B153" s="49" t="s">
        <v>207</v>
      </c>
      <c r="C153" s="50" t="s">
        <v>205</v>
      </c>
      <c r="D153" s="50" t="s">
        <v>9</v>
      </c>
      <c r="E153" s="50"/>
      <c r="F153" s="48">
        <v>3</v>
      </c>
      <c r="G153" s="48"/>
      <c r="H153" s="48">
        <v>2</v>
      </c>
      <c r="I153" s="48">
        <v>9</v>
      </c>
      <c r="J153" s="51">
        <f>H153*I153</f>
        <v>18</v>
      </c>
      <c r="K153" s="121">
        <f t="shared" si="48"/>
        <v>7200</v>
      </c>
      <c r="L153" s="70">
        <v>0</v>
      </c>
      <c r="M153" s="122">
        <f t="shared" si="49"/>
        <v>7200</v>
      </c>
      <c r="N153" s="124">
        <v>5</v>
      </c>
      <c r="O153" s="29" t="s">
        <v>203</v>
      </c>
    </row>
    <row r="154" spans="1:157" s="123" customFormat="1" ht="47.25">
      <c r="A154" s="48">
        <f t="shared" si="50"/>
        <v>5.4999999999999982</v>
      </c>
      <c r="B154" s="49" t="s">
        <v>208</v>
      </c>
      <c r="C154" s="50" t="s">
        <v>11</v>
      </c>
      <c r="D154" s="50" t="s">
        <v>9</v>
      </c>
      <c r="E154" s="50"/>
      <c r="F154" s="48">
        <v>2</v>
      </c>
      <c r="G154" s="48"/>
      <c r="H154" s="48">
        <v>2</v>
      </c>
      <c r="I154" s="48">
        <v>9</v>
      </c>
      <c r="J154" s="51">
        <f>H154*I154</f>
        <v>18</v>
      </c>
      <c r="K154" s="121">
        <f t="shared" si="48"/>
        <v>4800</v>
      </c>
      <c r="L154" s="70">
        <v>0</v>
      </c>
      <c r="M154" s="122">
        <f t="shared" si="49"/>
        <v>4800</v>
      </c>
      <c r="N154" s="46">
        <v>6</v>
      </c>
      <c r="O154" s="29" t="s">
        <v>203</v>
      </c>
    </row>
    <row r="155" spans="1:157" s="123" customFormat="1" ht="47.25">
      <c r="A155" s="48">
        <f t="shared" si="50"/>
        <v>5.5999999999999979</v>
      </c>
      <c r="B155" s="49" t="s">
        <v>209</v>
      </c>
      <c r="C155" s="50" t="s">
        <v>11</v>
      </c>
      <c r="D155" s="50" t="s">
        <v>9</v>
      </c>
      <c r="E155" s="50"/>
      <c r="F155" s="48">
        <v>2</v>
      </c>
      <c r="G155" s="48"/>
      <c r="H155" s="48">
        <v>2</v>
      </c>
      <c r="I155" s="48">
        <v>9</v>
      </c>
      <c r="J155" s="51">
        <f>H155*I155</f>
        <v>18</v>
      </c>
      <c r="K155" s="121">
        <f t="shared" si="48"/>
        <v>4800</v>
      </c>
      <c r="L155" s="70">
        <v>0</v>
      </c>
      <c r="M155" s="122">
        <f t="shared" si="49"/>
        <v>4800</v>
      </c>
      <c r="N155" s="46">
        <v>6</v>
      </c>
      <c r="O155" s="29" t="s">
        <v>203</v>
      </c>
    </row>
    <row r="156" spans="1:157" s="123" customFormat="1" ht="47.25">
      <c r="A156" s="48">
        <f t="shared" si="50"/>
        <v>5.6999999999999975</v>
      </c>
      <c r="B156" s="49" t="s">
        <v>388</v>
      </c>
      <c r="C156" s="50" t="s">
        <v>11</v>
      </c>
      <c r="D156" s="50" t="s">
        <v>9</v>
      </c>
      <c r="E156" s="50"/>
      <c r="F156" s="48">
        <v>2</v>
      </c>
      <c r="G156" s="48"/>
      <c r="H156" s="48">
        <v>2</v>
      </c>
      <c r="I156" s="48">
        <v>9</v>
      </c>
      <c r="J156" s="51">
        <f>H156*I156</f>
        <v>18</v>
      </c>
      <c r="K156" s="121">
        <f t="shared" si="48"/>
        <v>4800</v>
      </c>
      <c r="L156" s="70">
        <v>0</v>
      </c>
      <c r="M156" s="122">
        <f t="shared" si="49"/>
        <v>4800</v>
      </c>
      <c r="N156" s="46">
        <v>6</v>
      </c>
      <c r="O156" s="29" t="s">
        <v>203</v>
      </c>
    </row>
    <row r="157" spans="1:157" s="123" customFormat="1" ht="47.25">
      <c r="A157" s="48">
        <f t="shared" si="50"/>
        <v>5.7999999999999972</v>
      </c>
      <c r="B157" s="49" t="s">
        <v>210</v>
      </c>
      <c r="C157" s="62" t="s">
        <v>10</v>
      </c>
      <c r="D157" s="50" t="s">
        <v>9</v>
      </c>
      <c r="E157" s="50"/>
      <c r="F157" s="62">
        <v>2</v>
      </c>
      <c r="G157" s="62"/>
      <c r="H157" s="48">
        <v>2</v>
      </c>
      <c r="I157" s="48">
        <v>14</v>
      </c>
      <c r="J157" s="62">
        <v>14</v>
      </c>
      <c r="K157" s="121">
        <f t="shared" si="48"/>
        <v>4800</v>
      </c>
      <c r="L157" s="70">
        <v>0</v>
      </c>
      <c r="M157" s="122">
        <f t="shared" si="49"/>
        <v>4800</v>
      </c>
      <c r="N157" s="68">
        <v>7</v>
      </c>
      <c r="O157" s="29" t="s">
        <v>203</v>
      </c>
    </row>
    <row r="158" spans="1:157" s="123" customFormat="1" ht="31.5">
      <c r="A158" s="48">
        <f t="shared" si="50"/>
        <v>5.8999999999999968</v>
      </c>
      <c r="B158" s="49" t="s">
        <v>211</v>
      </c>
      <c r="C158" s="50" t="s">
        <v>212</v>
      </c>
      <c r="D158" s="50" t="s">
        <v>9</v>
      </c>
      <c r="E158" s="50"/>
      <c r="F158" s="48">
        <v>3</v>
      </c>
      <c r="G158" s="48"/>
      <c r="H158" s="48">
        <v>2</v>
      </c>
      <c r="I158" s="48">
        <v>7</v>
      </c>
      <c r="J158" s="51">
        <f t="shared" ref="J158:J164" si="51">H158*I158</f>
        <v>14</v>
      </c>
      <c r="K158" s="121">
        <f t="shared" si="48"/>
        <v>7200</v>
      </c>
      <c r="L158" s="70">
        <v>0</v>
      </c>
      <c r="M158" s="122">
        <f t="shared" si="49"/>
        <v>7200</v>
      </c>
      <c r="N158" s="124">
        <v>8</v>
      </c>
      <c r="O158" s="29" t="s">
        <v>203</v>
      </c>
    </row>
    <row r="159" spans="1:157" s="123" customFormat="1" ht="31.5">
      <c r="A159" s="48">
        <f t="shared" si="50"/>
        <v>5.9999999999999964</v>
      </c>
      <c r="B159" s="49" t="s">
        <v>213</v>
      </c>
      <c r="C159" s="50" t="s">
        <v>214</v>
      </c>
      <c r="D159" s="50" t="s">
        <v>215</v>
      </c>
      <c r="E159" s="50"/>
      <c r="F159" s="48">
        <v>2</v>
      </c>
      <c r="G159" s="48"/>
      <c r="H159" s="48">
        <v>2</v>
      </c>
      <c r="I159" s="48">
        <v>9</v>
      </c>
      <c r="J159" s="51">
        <f t="shared" si="51"/>
        <v>18</v>
      </c>
      <c r="K159" s="121">
        <f t="shared" ref="K159:K166" si="52">F159*8*150*H159*2</f>
        <v>9600</v>
      </c>
      <c r="L159" s="70">
        <v>0</v>
      </c>
      <c r="M159" s="122">
        <f t="shared" si="49"/>
        <v>9600</v>
      </c>
      <c r="N159" s="46">
        <v>5</v>
      </c>
      <c r="O159" s="29" t="s">
        <v>203</v>
      </c>
    </row>
    <row r="160" spans="1:157" s="123" customFormat="1" ht="31.5">
      <c r="A160" s="48">
        <f t="shared" si="50"/>
        <v>6.0999999999999961</v>
      </c>
      <c r="B160" s="49" t="s">
        <v>213</v>
      </c>
      <c r="C160" s="50" t="s">
        <v>216</v>
      </c>
      <c r="D160" s="50" t="s">
        <v>217</v>
      </c>
      <c r="E160" s="50"/>
      <c r="F160" s="48">
        <v>2</v>
      </c>
      <c r="G160" s="48"/>
      <c r="H160" s="48">
        <v>2</v>
      </c>
      <c r="I160" s="48">
        <v>10</v>
      </c>
      <c r="J160" s="51">
        <f t="shared" si="51"/>
        <v>20</v>
      </c>
      <c r="K160" s="121">
        <f t="shared" si="52"/>
        <v>9600</v>
      </c>
      <c r="L160" s="70">
        <v>0</v>
      </c>
      <c r="M160" s="122">
        <f t="shared" si="49"/>
        <v>9600</v>
      </c>
      <c r="N160" s="46">
        <v>5</v>
      </c>
      <c r="O160" s="29" t="s">
        <v>203</v>
      </c>
    </row>
    <row r="161" spans="1:15" s="123" customFormat="1" ht="31.5">
      <c r="A161" s="48">
        <f t="shared" si="50"/>
        <v>6.1999999999999957</v>
      </c>
      <c r="B161" s="49" t="s">
        <v>213</v>
      </c>
      <c r="C161" s="50" t="s">
        <v>218</v>
      </c>
      <c r="D161" s="50" t="s">
        <v>219</v>
      </c>
      <c r="E161" s="50"/>
      <c r="F161" s="48">
        <v>2</v>
      </c>
      <c r="G161" s="48"/>
      <c r="H161" s="48">
        <v>2</v>
      </c>
      <c r="I161" s="48">
        <v>8</v>
      </c>
      <c r="J161" s="51">
        <f t="shared" si="51"/>
        <v>16</v>
      </c>
      <c r="K161" s="121">
        <f t="shared" si="52"/>
        <v>9600</v>
      </c>
      <c r="L161" s="70">
        <v>0</v>
      </c>
      <c r="M161" s="122">
        <f t="shared" si="49"/>
        <v>9600</v>
      </c>
      <c r="N161" s="46">
        <v>6</v>
      </c>
      <c r="O161" s="29" t="s">
        <v>203</v>
      </c>
    </row>
    <row r="162" spans="1:15" s="123" customFormat="1" ht="31.5">
      <c r="A162" s="48">
        <f t="shared" si="50"/>
        <v>6.2999999999999954</v>
      </c>
      <c r="B162" s="49" t="s">
        <v>213</v>
      </c>
      <c r="C162" s="50" t="s">
        <v>220</v>
      </c>
      <c r="D162" s="50" t="s">
        <v>221</v>
      </c>
      <c r="E162" s="50"/>
      <c r="F162" s="48">
        <v>2</v>
      </c>
      <c r="G162" s="48"/>
      <c r="H162" s="48">
        <v>2</v>
      </c>
      <c r="I162" s="48">
        <v>8</v>
      </c>
      <c r="J162" s="51">
        <f t="shared" si="51"/>
        <v>16</v>
      </c>
      <c r="K162" s="121">
        <f t="shared" si="52"/>
        <v>9600</v>
      </c>
      <c r="L162" s="70">
        <v>0</v>
      </c>
      <c r="M162" s="122">
        <f t="shared" si="49"/>
        <v>9600</v>
      </c>
      <c r="N162" s="46">
        <v>6</v>
      </c>
      <c r="O162" s="29" t="s">
        <v>203</v>
      </c>
    </row>
    <row r="163" spans="1:15" s="123" customFormat="1" ht="31.5">
      <c r="A163" s="48">
        <f t="shared" si="50"/>
        <v>6.399999999999995</v>
      </c>
      <c r="B163" s="49" t="s">
        <v>213</v>
      </c>
      <c r="C163" s="50" t="s">
        <v>222</v>
      </c>
      <c r="D163" s="50" t="s">
        <v>223</v>
      </c>
      <c r="E163" s="50"/>
      <c r="F163" s="48">
        <v>2</v>
      </c>
      <c r="G163" s="48"/>
      <c r="H163" s="48">
        <v>2</v>
      </c>
      <c r="I163" s="48">
        <v>10</v>
      </c>
      <c r="J163" s="51">
        <f t="shared" si="51"/>
        <v>20</v>
      </c>
      <c r="K163" s="121">
        <f t="shared" si="52"/>
        <v>9600</v>
      </c>
      <c r="L163" s="70">
        <v>0</v>
      </c>
      <c r="M163" s="122">
        <f t="shared" si="49"/>
        <v>9600</v>
      </c>
      <c r="N163" s="46">
        <v>5</v>
      </c>
      <c r="O163" s="29" t="s">
        <v>224</v>
      </c>
    </row>
    <row r="164" spans="1:15" s="123" customFormat="1" ht="31.5">
      <c r="A164" s="48">
        <f>0.1+A163</f>
        <v>6.4999999999999947</v>
      </c>
      <c r="B164" s="49" t="s">
        <v>213</v>
      </c>
      <c r="C164" s="50" t="s">
        <v>225</v>
      </c>
      <c r="D164" s="50" t="s">
        <v>13</v>
      </c>
      <c r="E164" s="50"/>
      <c r="F164" s="48">
        <v>2</v>
      </c>
      <c r="G164" s="48"/>
      <c r="H164" s="48">
        <v>2</v>
      </c>
      <c r="I164" s="48">
        <v>14</v>
      </c>
      <c r="J164" s="51">
        <f t="shared" si="51"/>
        <v>28</v>
      </c>
      <c r="K164" s="121">
        <f t="shared" si="52"/>
        <v>9600</v>
      </c>
      <c r="L164" s="70">
        <v>0</v>
      </c>
      <c r="M164" s="122">
        <f t="shared" si="49"/>
        <v>9600</v>
      </c>
      <c r="N164" s="46">
        <v>9</v>
      </c>
      <c r="O164" s="29" t="s">
        <v>224</v>
      </c>
    </row>
    <row r="165" spans="1:15" s="123" customFormat="1" ht="43.5" customHeight="1">
      <c r="A165" s="48">
        <f t="shared" ref="A165:A166" si="53">0.1+A164</f>
        <v>6.5999999999999943</v>
      </c>
      <c r="B165" s="49" t="s">
        <v>354</v>
      </c>
      <c r="C165" s="50" t="s">
        <v>225</v>
      </c>
      <c r="D165" s="50" t="s">
        <v>13</v>
      </c>
      <c r="E165" s="50"/>
      <c r="F165" s="48">
        <v>2</v>
      </c>
      <c r="G165" s="48"/>
      <c r="H165" s="48">
        <v>2</v>
      </c>
      <c r="I165" s="48" t="s">
        <v>8</v>
      </c>
      <c r="J165" s="51" t="s">
        <v>389</v>
      </c>
      <c r="K165" s="121">
        <f t="shared" si="52"/>
        <v>9600</v>
      </c>
      <c r="L165" s="70">
        <v>0</v>
      </c>
      <c r="M165" s="122">
        <f t="shared" si="49"/>
        <v>9600</v>
      </c>
      <c r="N165" s="46"/>
      <c r="O165" s="29"/>
    </row>
    <row r="166" spans="1:15" s="123" customFormat="1" ht="47.25">
      <c r="A166" s="48">
        <f t="shared" si="53"/>
        <v>6.699999999999994</v>
      </c>
      <c r="B166" s="49" t="s">
        <v>355</v>
      </c>
      <c r="C166" s="50" t="s">
        <v>225</v>
      </c>
      <c r="D166" s="50" t="s">
        <v>13</v>
      </c>
      <c r="E166" s="50"/>
      <c r="F166" s="48">
        <v>2</v>
      </c>
      <c r="G166" s="48"/>
      <c r="H166" s="48">
        <v>2</v>
      </c>
      <c r="I166" s="48" t="s">
        <v>8</v>
      </c>
      <c r="J166" s="51" t="s">
        <v>389</v>
      </c>
      <c r="K166" s="121">
        <f t="shared" si="52"/>
        <v>9600</v>
      </c>
      <c r="L166" s="70">
        <v>0</v>
      </c>
      <c r="M166" s="122">
        <f t="shared" si="49"/>
        <v>9600</v>
      </c>
      <c r="N166" s="46"/>
      <c r="O166" s="29"/>
    </row>
    <row r="167" spans="1:15" ht="15.75">
      <c r="A167" s="27" t="s">
        <v>6</v>
      </c>
      <c r="B167" s="33" t="s">
        <v>5</v>
      </c>
      <c r="C167" s="34"/>
      <c r="D167" s="27"/>
      <c r="E167" s="27"/>
      <c r="F167" s="27"/>
      <c r="G167" s="27"/>
      <c r="H167" s="30">
        <f>SUM(H168:H169)</f>
        <v>0</v>
      </c>
      <c r="I167" s="30"/>
      <c r="J167" s="31">
        <f t="shared" ref="J167:M167" si="54">SUM(J168:J169)</f>
        <v>12</v>
      </c>
      <c r="K167" s="31">
        <f t="shared" si="54"/>
        <v>0</v>
      </c>
      <c r="L167" s="31">
        <f t="shared" si="54"/>
        <v>7540</v>
      </c>
      <c r="M167" s="31">
        <f t="shared" si="54"/>
        <v>7540</v>
      </c>
      <c r="N167" s="59"/>
      <c r="O167" s="37"/>
    </row>
    <row r="168" spans="1:15" ht="47.25">
      <c r="A168" s="89">
        <v>1</v>
      </c>
      <c r="B168" s="125" t="s">
        <v>4</v>
      </c>
      <c r="C168" s="60" t="s">
        <v>1</v>
      </c>
      <c r="D168" s="60" t="s">
        <v>3</v>
      </c>
      <c r="E168" s="60"/>
      <c r="F168" s="29">
        <v>1</v>
      </c>
      <c r="G168" s="29"/>
      <c r="H168" s="30">
        <v>0</v>
      </c>
      <c r="I168" s="36"/>
      <c r="J168" s="90">
        <v>5</v>
      </c>
      <c r="K168" s="45">
        <v>0</v>
      </c>
      <c r="L168" s="45">
        <f>J168*750+J168*170</f>
        <v>4600</v>
      </c>
      <c r="M168" s="45">
        <f>K168+L168</f>
        <v>4600</v>
      </c>
      <c r="N168" s="36" t="s">
        <v>2</v>
      </c>
      <c r="O168" s="126" t="s">
        <v>258</v>
      </c>
    </row>
    <row r="169" spans="1:15" ht="47.25">
      <c r="A169" s="89"/>
      <c r="B169" s="125"/>
      <c r="C169" s="60" t="s">
        <v>1</v>
      </c>
      <c r="D169" s="60" t="s">
        <v>3</v>
      </c>
      <c r="E169" s="60"/>
      <c r="F169" s="29">
        <v>1</v>
      </c>
      <c r="G169" s="29"/>
      <c r="H169" s="30">
        <v>0</v>
      </c>
      <c r="I169" s="36"/>
      <c r="J169" s="90">
        <v>7</v>
      </c>
      <c r="K169" s="45">
        <v>0</v>
      </c>
      <c r="L169" s="45">
        <f>J169*220+J169*200</f>
        <v>2940</v>
      </c>
      <c r="M169" s="45">
        <f>K169+L169</f>
        <v>2940</v>
      </c>
      <c r="N169" s="36" t="s">
        <v>2</v>
      </c>
      <c r="O169" s="126" t="s">
        <v>259</v>
      </c>
    </row>
    <row r="170" spans="1:15" ht="60" customHeight="1">
      <c r="A170" s="27" t="s">
        <v>392</v>
      </c>
      <c r="B170" s="33" t="s">
        <v>393</v>
      </c>
      <c r="C170" s="91"/>
      <c r="D170" s="29"/>
      <c r="E170" s="29"/>
      <c r="F170" s="29"/>
      <c r="G170" s="29"/>
      <c r="H170" s="27"/>
      <c r="I170" s="60"/>
      <c r="J170" s="90"/>
      <c r="K170" s="31"/>
      <c r="L170" s="31">
        <v>1000000</v>
      </c>
      <c r="M170" s="31">
        <v>1000000</v>
      </c>
      <c r="N170" s="36"/>
      <c r="O170" s="75" t="s">
        <v>394</v>
      </c>
    </row>
    <row r="171" spans="1:15" s="136" customFormat="1" ht="30.75" customHeight="1">
      <c r="A171" s="127"/>
      <c r="B171" s="128" t="s">
        <v>395</v>
      </c>
      <c r="C171" s="129"/>
      <c r="D171" s="127"/>
      <c r="E171" s="127"/>
      <c r="F171" s="127"/>
      <c r="G171" s="127"/>
      <c r="H171" s="127"/>
      <c r="I171" s="130"/>
      <c r="J171" s="131"/>
      <c r="K171" s="132"/>
      <c r="L171" s="132"/>
      <c r="M171" s="133">
        <f>M6+M170</f>
        <v>5133673.333333334</v>
      </c>
      <c r="N171" s="134"/>
      <c r="O171" s="135"/>
    </row>
  </sheetData>
  <mergeCells count="33">
    <mergeCell ref="F5:G5"/>
    <mergeCell ref="A1:D1"/>
    <mergeCell ref="H1:O1"/>
    <mergeCell ref="A2:O2"/>
    <mergeCell ref="A3:A4"/>
    <mergeCell ref="B3:B4"/>
    <mergeCell ref="C3:C4"/>
    <mergeCell ref="D3:D4"/>
    <mergeCell ref="E3:E4"/>
    <mergeCell ref="F3:G3"/>
    <mergeCell ref="H3:H4"/>
    <mergeCell ref="I3:I4"/>
    <mergeCell ref="J3:J4"/>
    <mergeCell ref="K3:M3"/>
    <mergeCell ref="N3:N4"/>
    <mergeCell ref="O3:O4"/>
    <mergeCell ref="B58:B60"/>
    <mergeCell ref="H87:H92"/>
    <mergeCell ref="K87:K92"/>
    <mergeCell ref="L87:L92"/>
    <mergeCell ref="M87:M92"/>
    <mergeCell ref="B64:B65"/>
    <mergeCell ref="D64:D65"/>
    <mergeCell ref="A168:A169"/>
    <mergeCell ref="B168:B169"/>
    <mergeCell ref="O87:O92"/>
    <mergeCell ref="H120:H125"/>
    <mergeCell ref="K120:K125"/>
    <mergeCell ref="L120:L125"/>
    <mergeCell ref="M120:M125"/>
    <mergeCell ref="N120:N125"/>
    <mergeCell ref="O120:O125"/>
    <mergeCell ref="N87:N92"/>
  </mergeCells>
  <conditionalFormatting sqref="A29:A31 P29:R31 A33:A38 P33:R38">
    <cfRule type="expression" dxfId="19" priority="9">
      <formula>ROW()=CELL("Row")</formula>
    </cfRule>
  </conditionalFormatting>
  <conditionalFormatting sqref="D52">
    <cfRule type="duplicateValues" dxfId="10" priority="1"/>
  </conditionalFormatting>
  <pageMargins left="0.35433070866141736" right="0.31496062992125984" top="0.39370078740157483" bottom="0.51181102362204722" header="0.31496062992125984" footer="0.19685039370078741"/>
  <pageSetup paperSize="9" scale="63" orientation="landscape" r:id="rId1"/>
  <headerFooter>
    <oddFooter xml:space="preserve">&amp;LBM-KHĐTHL-05&amp;C    Ngày: 10/3/2026                                 &amp;RTrang &amp;P/&amp;N     </oddFooter>
  </headerFooter>
  <colBreaks count="1" manualBreakCount="1">
    <brk id="15" max="1048575" man="1"/>
  </colBreaks>
  <ignoredErrors>
    <ignoredError sqref="H141 L141 J141 H53 H63 K63:L63" formulaRange="1"/>
    <ignoredError sqref="K145 M141 K127:K128 M119:M120 M114 M32 M39 M53 M63 M75 M99 K101 M101 M127 M167 M61" 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Du kien</vt:lpstr>
      <vt:lpstr>'Du kien'!Print_Area</vt:lpstr>
      <vt:lpstr>'Du kien'!Print_Titles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QLBMT DANG VU HIEP</cp:lastModifiedBy>
  <cp:lastPrinted>2026-10-05T03:31:32Z</cp:lastPrinted>
  <dcterms:created xsi:type="dcterms:W3CDTF">2026-09-10T12:38:00Z</dcterms:created>
  <dcterms:modified xsi:type="dcterms:W3CDTF">2026-10-05T03:42:26Z</dcterms:modified>
</cp:coreProperties>
</file>