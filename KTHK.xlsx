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image/jpeg" PartName="/xl/media/image5.jpg"/>
  <Override ContentType="application/vnd.openxmlformats-officedocument.drawing+xml" PartName="/xl/drawings/drawing1.xml"/>
  <Override ContentType="application/vnd.openxmlformats-officedocument.vmlDrawing" PartName="/xl/drawings/vmlDrawing1.v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Đào tạo - Huấn luyện\2026\T9\Kế hoạch dthl\"/>
    </mc:Choice>
  </mc:AlternateContent>
  <xr:revisionPtr revIDLastSave="0" documentId="13_ncr:1_{AF3E22FC-52A9-46DD-8D1C-7C0E4C667913}" xr6:coauthVersionLast="47" xr6:coauthVersionMax="47" xr10:uidLastSave="{00000000-0000-0000-0000-000000000000}"/>
  <bookViews>
    <workbookView xWindow="-120" yWindow="-120" windowWidth="29040" windowHeight="15720" xr2:uid="{7A268ABE-C5FD-45FB-A0BC-9DF1C27FC750}"/>
  </bookViews>
  <sheets>
    <sheet name="KH có khai giảng, bế giảng" sheetId="1" r:id="rId1"/>
  </sheets>
  <definedNames>
    <definedName name="_xlnm.Print_Titles" localSheetId="0">'KH có khai giảng, bế giảng'!$5:$6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<sst xmlns="http://schemas.openxmlformats.org/spreadsheetml/2006/main" count="128" uniqueCount="128">
  <si>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 xml:space="preserve">TỔNG CÔNG TY QUẢN LÝ BAY VIỆT NAM
TRUNG TÂM KHÍ TƯỢNG HÀNG KHÔNG
</t>
  </si>
  <si>
    <r xmlns="http://schemas.openxmlformats.org/spreadsheetml/2006/main">
      <t xml:space="preserve">CỘNG HOÀ XÃ HỘI CHỦ NGHĨA VIỆT NAM
Độc lập - Tự do - Hạnh phúc
</t>
    </r>
    <r xmlns="http://schemas.openxmlformats.org/spreadsheetml/2006/main">
      <rPr>
        <sz val="11"/>
        <rFont val="Times New Roman"/>
        <family val="1"/>
      </rPr>
      <t>Hà Nội, ngày      tháng 9 năm 2026</t>
    </r>
  </si>
  <si>
    <t>ĐỀ XUẤT KẾ HOẠCH ĐÀO TẠO, HUẤN LUYỆN NĂM 2027</t>
  </si>
  <si>
    <t>Đơn vị tính: 1.000 Đồng</t>
  </si>
  <si>
    <t>TT</t>
  </si>
  <si>
    <t>Nội dung</t>
  </si>
  <si>
    <t>Đối tượng</t>
  </si>
  <si>
    <t>Nơi đào tạo/Cơ sở đào tạo dự kiến (hoặc cơ quan chủ trì)</t>
  </si>
  <si>
    <t>Đơn vị thực hiện</t>
  </si>
  <si>
    <t>Thời gian (số ngày)</t>
  </si>
  <si>
    <t>Số lớp</t>
  </si>
  <si>
    <t>Số người/ lớp</t>
  </si>
  <si>
    <t>Tổng số người</t>
  </si>
  <si>
    <t>Kinh phí</t>
  </si>
  <si>
    <t>Tiến độ/phân kỳ thực hiện</t>
  </si>
  <si>
    <t>Ghi chú</t>
  </si>
  <si>
    <t>Giáo viên</t>
  </si>
  <si>
    <t>Nước, khai giảng, bế giảng</t>
  </si>
  <si>
    <t>Chi đào tạo</t>
  </si>
  <si>
    <t>Chi khác (CTP, đi lại, lưu trú)</t>
  </si>
  <si>
    <t>Tổng</t>
  </si>
  <si>
    <t>A</t>
  </si>
  <si>
    <t>Đào tạo huấn luyện trong nước</t>
  </si>
  <si>
    <t>I</t>
  </si>
  <si>
    <t>Đào tạo huấn luyện thuê ngoài</t>
  </si>
  <si>
    <t>Bồi dưỡng kiến thức quản lý hành chính nhà nước</t>
  </si>
  <si>
    <t>Cán bộ TT</t>
  </si>
  <si>
    <t>Theo KH TCT</t>
  </si>
  <si>
    <t xml:space="preserve">Trung cấp lý luận chính trị </t>
  </si>
  <si>
    <t>Cán bộ, nhân viên TT</t>
  </si>
  <si>
    <t>Bồi dưỡng nghiệp vụ sư phạm</t>
  </si>
  <si>
    <t>Huấn luyện kiến thức An ninh hàng không</t>
  </si>
  <si>
    <t>Huấn luyện nghiệp vụ PCCC&amp;CNCH</t>
  </si>
  <si>
    <t>Phân tích và đánh giá dữ liệu khí tượng</t>
  </si>
  <si>
    <t xml:space="preserve">Huấn luyện kỹ năng phân tích mây CB/TCU trên ảnh Radar kết hợp quan trắc trực quan. </t>
  </si>
  <si>
    <t xml:space="preserve">Huấn luyện rủi ro An ninh, nguy cơ nội gián và cơ chế báo  cáo</t>
  </si>
  <si>
    <t>Đào tạo Quản lý chất lượng toàn diện TQM</t>
  </si>
  <si>
    <t>Quản lý đào tạo, dữ liệu học tập và hồ sơ số</t>
  </si>
  <si>
    <t>Quản lý thay đổi, rủi ro, tài chính - Đầu tư</t>
  </si>
  <si>
    <t>Quản trị hiện đại, chỉ số hiệu quả và kỹ năng lãnh đạo</t>
  </si>
  <si>
    <t>Huấn luyện định kỳ đánh giá an toàn</t>
  </si>
  <si>
    <t>Đánh giá viên an toàn</t>
  </si>
  <si>
    <t>Nâng cao kỹ năng thống kê, phân tích dữ liệu</t>
  </si>
  <si>
    <t>Ứng dụng công nghệ mới chuyển đổi AI trong khí tượng hàng không</t>
  </si>
  <si>
    <t>II</t>
  </si>
  <si>
    <t>Đào tạo huấn luyện tự thực hiện</t>
  </si>
  <si>
    <t>II.1</t>
  </si>
  <si>
    <t>Đào tạo, huấn luyện nhân viên bảo đảm hoạt động bay (ANS)</t>
  </si>
  <si>
    <t>Khí tượng hàng không</t>
  </si>
  <si>
    <t>1.1</t>
  </si>
  <si>
    <t>Đào tạo chứng chỉ chuyên môn</t>
  </si>
  <si>
    <t>1.1.1</t>
  </si>
  <si>
    <t>Nhân viên khí tượng hàng không</t>
  </si>
  <si>
    <t>Mới tuyển dụng</t>
  </si>
  <si>
    <t>TT ĐTHL VATM</t>
  </si>
  <si>
    <t>384 tiết</t>
  </si>
  <si>
    <t>Theo KH của TCT</t>
  </si>
  <si>
    <t>1.2</t>
  </si>
  <si>
    <t>Huấn luyện cho nhân viên mới tại vị trí làm việc</t>
  </si>
  <si>
    <t>1.2.1</t>
  </si>
  <si>
    <t>Huấn luyện năng định và tại vị trí làm việc đối với nhân viên Dự báo Khí tượng hàng không</t>
  </si>
  <si>
    <t xml:space="preserve">Nhân viên 
Trung tâm KTHK</t>
  </si>
  <si>
    <t>Các đơn vị có liên quan</t>
  </si>
  <si>
    <t>180 ngày</t>
  </si>
  <si>
    <t>3</t>
  </si>
  <si>
    <t>2</t>
  </si>
  <si>
    <t>Tháng 3-12</t>
  </si>
  <si>
    <t>1440 tiết (360 LT; 1080 OJT; 40KT)</t>
  </si>
  <si>
    <t xml:space="preserve">NB: 
TSN
ĐN</t>
  </si>
  <si>
    <t>1.2.2</t>
  </si>
  <si>
    <t>Huấn luyện năng định và tại vị trí làm việc đối với nhân viên Quan trắc Khí tượng hàng không</t>
  </si>
  <si>
    <t>120 ngày</t>
  </si>
  <si>
    <t>960 tiết (160 LT; 776 OJT; 24KT)</t>
  </si>
  <si>
    <t xml:space="preserve"> ĐN; TSN</t>
  </si>
  <si>
    <t>1.3</t>
  </si>
  <si>
    <t>Huấn luyện định kỳ</t>
  </si>
  <si>
    <t>1.3.1</t>
  </si>
  <si>
    <t>Nhân viên quan trắc khí tượng hàng không</t>
  </si>
  <si>
    <t xml:space="preserve">Nhân viên quan trắc TTKTHK NB; ĐN; TSN </t>
  </si>
  <si>
    <t>5 ngày</t>
  </si>
  <si>
    <t>6</t>
  </si>
  <si>
    <t>6-7</t>
  </si>
  <si>
    <t>Tháng 3-10</t>
  </si>
  <si>
    <t>1.3.2</t>
  </si>
  <si>
    <t>Nhân viên dự báo khí tượng hàng không</t>
  </si>
  <si>
    <t xml:space="preserve">Nhân viên dự  báo TT CBTT; TTKTHK NB; ĐN; TSN </t>
  </si>
  <si>
    <t>8</t>
  </si>
  <si>
    <t>5-6</t>
  </si>
  <si>
    <t>Kíp trưởng khí tượng hàng không</t>
  </si>
  <si>
    <t>Kíp trưởng TT CBTT; TTKTHK NB; TSN; ĐN</t>
  </si>
  <si>
    <t>2-3</t>
  </si>
  <si>
    <t>1.4</t>
  </si>
  <si>
    <t>Huấn luyện chuyển loại</t>
  </si>
  <si>
    <t>1.5</t>
  </si>
  <si>
    <t>Huấn luyện phục hồi</t>
  </si>
  <si>
    <t>1.5.1</t>
  </si>
  <si>
    <t>Các đơn vị trực thuộc (nếu có)</t>
  </si>
  <si>
    <t>1</t>
  </si>
  <si>
    <t>1.5.2</t>
  </si>
  <si>
    <t>1.6</t>
  </si>
  <si>
    <t>Huấn luyện bồi dưỡng, nâng cao (bổ túc, bổ sung, cập nhật...)</t>
  </si>
  <si>
    <t>Không có</t>
  </si>
  <si>
    <t>Huấn luyện thực tế tại các sân bay địa phương</t>
  </si>
  <si>
    <t>Cán bộ, nhân viên TTKTHK NB; ĐN; TSN; CBTT</t>
  </si>
  <si>
    <t>03 ngày</t>
  </si>
  <si>
    <t>12</t>
  </si>
  <si>
    <t>Tháng 6-12</t>
  </si>
  <si>
    <t>Huấn luyện kiến thức không lưu cho nhân viên khí tượng</t>
  </si>
  <si>
    <t>Nhân viên Dự báo, quan trắc NB; ĐN; TSN; CBTT</t>
  </si>
  <si>
    <t>02 ngày</t>
  </si>
  <si>
    <t>1.7</t>
  </si>
  <si>
    <t>Nội dung khác</t>
  </si>
  <si>
    <t>II.2</t>
  </si>
  <si>
    <t>Huấn luyện cho nhân viên khác</t>
  </si>
  <si>
    <t>Huấn luyện năng định</t>
  </si>
  <si>
    <t>5.1</t>
  </si>
  <si>
    <t>Chi phí các khoá học phát sinh để đảm bảo dịch vụ hoạt động bay…..(công tác phí phục vụ công tác đào tạo - huấn luyện; đánh giá CAS; Kiểm tra năng định)</t>
  </si>
  <si>
    <t>5.2</t>
  </si>
  <si>
    <t>Chi phí khác (xây dựng, thẩm định, sửa đổi, bổ sung Giáo trình chuyên môn)</t>
  </si>
  <si>
    <t>B</t>
  </si>
  <si>
    <t>Đào tạo huấn luyện nước ngoài</t>
  </si>
  <si>
    <t>Kỹ năng khai thác, phân tích, ứng dụng các sản phẩm của mô hình dự báo số trị</t>
  </si>
  <si>
    <t>Kỹ năng dự báo bão/áp thấp nhiệt đới và đánh giá tác động ảnh hưởng của bão/áp thấp nhiệt đới đến hoạt động bay</t>
  </si>
  <si>
    <t>Công nghệ dự báo hạn ngắn (Nowcast): Kỹ năng khai thác, phân tích và dự báo dựa trên các sản phẩm của radar thời tiết, ảnh mây vệ tinh tại các nước trong khu vực</t>
  </si>
  <si>
    <t>Dự báo tác động của các yếu tố khí tượng ảnh hưởng đến hoạt động bay phục vụ công tác A-CDM và ATFM</t>
  </si>
  <si>
    <t>Kỹ năng phân tích và dự báo dựa trên các sản phẩm của radar thời tiết, ảnh mây vệ tinh</t>
  </si>
  <si>
    <t>Huấn luyện Huấn luyện viên chuyên ngành Khí tượng hàng không</t>
  </si>
  <si>
    <t>Tổng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</si>
</sst>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name val=".VnTime"/>
      <family val="2"/>
    </font>
    <font>
      <b/>
      <u/>
      <sz val="10"/>
      <color theme="1"/>
      <name val="Times New Roman"/>
      <family val="1"/>
    </font>
    <font>
      <b/>
      <u val="singleAccounting"/>
      <sz val="10"/>
      <color theme="1"/>
      <name val="Times New Roman"/>
      <family val="1"/>
    </font>
    <font>
      <b/>
      <u val="singleAccounting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VNI-Times"/>
    </font>
    <font>
      <sz val="10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.VnTime"/>
      <family val="2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/>
    <xf numFmtId="43" fontId="1" fillId="0" borderId="0"/>
    <xf numFmtId="0" fontId="7" fillId="0" borderId="0"/>
    <xf numFmtId="0" fontId="13" fillId="0" borderId="0"/>
    <xf numFmtId="0" fontId="17" fillId="0" borderId="0"/>
    <xf numFmtId="0" fontId="2" fillId="0" borderId="0"/>
  </cellStyleXfs>
  <cellXfs count="78">
    <xf numFmtId="0" applyNumberFormat="1" fontId="0" applyFont="1" fillId="0" applyFill="1" borderId="0" applyBorder="1" xfId="0"/>
    <xf numFmtId="43" applyNumberFormat="1" fontId="1" applyFont="1" fillId="0" applyFill="1" borderId="0" applyBorder="1" xfId="1"/>
    <xf numFmtId="43" applyNumberFormat="1" fontId="1" applyFont="1" fillId="0" applyFill="1" borderId="0" applyBorder="1" xfId="2"/>
    <xf numFmtId="0" applyNumberFormat="1" fontId="7" applyFont="1" fillId="0" applyFill="1" borderId="0" applyBorder="1" xfId="3"/>
    <xf numFmtId="0" applyNumberFormat="1" fontId="13" applyFont="1" fillId="0" applyFill="1" borderId="0" applyBorder="1" xfId="4"/>
    <xf numFmtId="0" applyNumberFormat="1" fontId="17" applyFont="1" fillId="0" applyFill="1" borderId="0" applyBorder="1" xfId="5"/>
    <xf numFmtId="0" applyNumberFormat="1" fontId="2" applyFont="1" fillId="0" applyFill="1" borderId="0" applyBorder="1" xfId="6"/>
    <xf numFmtId="0" applyNumberFormat="1" fontId="3" applyFont="1" fillId="2" applyFill="1" borderId="0" applyBorder="1" xfId="6">
      <alignment vertical="center"/>
    </xf>
    <xf numFmtId="0" applyNumberFormat="1" fontId="4" applyFont="1" fillId="2" applyFill="1" borderId="0" applyBorder="1" xfId="6">
      <alignment vertical="center"/>
    </xf>
    <xf numFmtId="164" applyNumberFormat="1" fontId="5" applyFont="1" fillId="2" applyFill="1" borderId="0" applyBorder="1" xfId="2">
      <alignment horizontal="center" vertical="center"/>
    </xf>
    <xf numFmtId="164" applyNumberFormat="1" fontId="6" applyFont="1" fillId="2" applyFill="1" borderId="0" applyBorder="1" xfId="2">
      <alignment horizontal="center" vertical="center"/>
    </xf>
    <xf numFmtId="0" applyNumberFormat="1" fontId="5" applyFont="1" fillId="2" applyFill="1" borderId="0" applyBorder="1" xfId="6">
      <alignment horizontal="center" vertical="center"/>
    </xf>
    <xf numFmtId="49" applyNumberFormat="1" fontId="5" applyFont="1" fillId="2" applyFill="1" borderId="0" applyBorder="1" xfId="6">
      <alignment horizontal="center" vertical="center"/>
    </xf>
    <xf numFmtId="0" applyNumberFormat="1" fontId="5" applyFont="1" fillId="2" applyFill="1" borderId="0" applyBorder="1" xfId="6">
      <alignment vertical="center"/>
    </xf>
    <xf numFmtId="164" applyNumberFormat="1" fontId="8" applyFont="1" fillId="2" applyFill="1" borderId="1" applyBorder="1" xfId="3">
      <alignment horizontal="center" vertical="center" wrapText="1"/>
    </xf>
    <xf numFmtId="164" applyNumberFormat="1" fontId="9" applyFont="1" fillId="2" applyFill="1" borderId="1" applyBorder="1" xfId="3">
      <alignment horizontal="center" vertical="center" wrapText="1"/>
    </xf>
    <xf numFmtId="164" applyNumberFormat="1" fontId="10" applyFont="1" fillId="2" applyFill="1" borderId="1" applyBorder="1" xfId="3">
      <alignment horizontal="center" vertical="center" wrapText="1"/>
    </xf>
    <xf numFmtId="0" applyNumberFormat="1" fontId="8" applyFont="1" fillId="2" applyFill="1" borderId="1" applyBorder="1" xfId="3">
      <alignment horizontal="center" vertical="center" wrapText="1"/>
    </xf>
    <xf numFmtId="164" applyNumberFormat="1" fontId="8" applyFont="1" fillId="2" applyFill="1" borderId="1" applyBorder="1" xfId="1">
      <alignment horizontal="center" vertical="center" wrapText="1"/>
    </xf>
    <xf numFmtId="49" applyNumberFormat="1" fontId="8" applyFont="1" fillId="2" applyFill="1" borderId="1" applyBorder="1" xfId="3">
      <alignment horizontal="center" vertical="center" wrapText="1"/>
    </xf>
    <xf numFmtId="0" applyNumberFormat="1" fontId="11" applyFont="1" fillId="2" applyFill="1" borderId="1" applyBorder="1" xfId="3">
      <alignment horizontal="center" vertical="center" wrapText="1"/>
    </xf>
    <xf numFmtId="164" applyNumberFormat="1" fontId="3" applyFont="1" fillId="2" applyFill="1" borderId="1" applyBorder="1" xfId="1">
      <alignment horizontal="center" vertical="center" wrapText="1"/>
    </xf>
    <xf numFmtId="49" applyNumberFormat="1" fontId="3" applyFont="1" fillId="2" applyFill="1" borderId="1" applyBorder="1" xfId="3">
      <alignment horizontal="center" vertical="center" wrapText="1"/>
    </xf>
    <xf numFmtId="0" applyNumberFormat="1" fontId="3" applyFont="1" fillId="2" applyFill="1" borderId="1" applyBorder="1" xfId="3">
      <alignment horizontal="center" vertical="center" wrapText="1"/>
    </xf>
    <xf numFmtId="0" applyNumberFormat="1" fontId="3" applyFont="1" fillId="2" applyFill="1" borderId="1" applyBorder="1" xfId="3">
      <alignment horizontal="left" vertical="center" wrapText="1"/>
    </xf>
    <xf numFmtId="0" applyNumberFormat="1" fontId="3" applyFont="1" fillId="2" applyFill="1" borderId="0" applyBorder="1" xfId="6">
      <alignment vertical="center" wrapText="1"/>
    </xf>
    <xf numFmtId="164" applyNumberFormat="1" fontId="12" applyFont="1" fillId="2" applyFill="1" borderId="1" applyBorder="1" xfId="1">
      <alignment horizontal="center" vertical="center" wrapText="1"/>
    </xf>
    <xf numFmtId="49" applyNumberFormat="1" fontId="12" applyFont="1" fillId="2" applyFill="1" borderId="1" applyBorder="1" xfId="3">
      <alignment horizontal="center" vertical="center" wrapText="1"/>
    </xf>
    <xf numFmtId="0" applyNumberFormat="1" fontId="12" applyFont="1" fillId="2" applyFill="1" borderId="1" applyBorder="1" xfId="3">
      <alignment horizontal="center" vertical="center" wrapText="1"/>
    </xf>
    <xf numFmtId="0" applyNumberFormat="1" fontId="12" applyFont="1" fillId="2" applyFill="1" borderId="1" applyBorder="1" xfId="3">
      <alignment horizontal="left" vertical="center" wrapText="1"/>
    </xf>
    <xf numFmtId="0" applyNumberFormat="1" fontId="12" applyFont="1" fillId="2" applyFill="1" borderId="1" applyBorder="1" xfId="6">
      <alignment horizontal="center" vertical="center"/>
    </xf>
    <xf numFmtId="0" applyNumberFormat="1" fontId="3" applyFont="1" fillId="2" applyFill="1" borderId="1" applyBorder="1" xfId="3">
      <alignment vertical="center" wrapText="1"/>
    </xf>
    <xf numFmtId="0" applyNumberFormat="1" fontId="12" applyFont="1" fillId="2" applyFill="1" borderId="1" applyBorder="1" xfId="3">
      <alignment vertical="center" wrapText="1"/>
    </xf>
    <xf numFmtId="0" applyNumberFormat="1" fontId="3" applyFont="1" fillId="2" applyFill="1" borderId="1" applyBorder="1" xfId="6">
      <alignment vertical="center"/>
    </xf>
    <xf numFmtId="164" applyNumberFormat="1" fontId="3" applyFont="1" fillId="2" applyFill="1" borderId="1" applyBorder="1" xfId="1">
      <alignment vertical="center"/>
    </xf>
    <xf numFmtId="0" applyNumberFormat="1" fontId="3" applyFont="1" fillId="2" applyFill="1" borderId="1" applyBorder="1" xfId="6">
      <alignment horizontal="center" vertical="center"/>
    </xf>
    <xf numFmtId="49" applyNumberFormat="1" fontId="12" applyFont="1" fillId="2" applyFill="1" borderId="1" applyBorder="1" xfId="4">
      <alignment horizontal="left" vertical="center" wrapText="1"/>
    </xf>
    <xf numFmtId="164" applyNumberFormat="1" fontId="12" applyFont="1" fillId="2" applyFill="1" borderId="1" applyBorder="1" xfId="1" quotePrefix="1">
      <alignment horizontal="right" vertical="center" wrapText="1"/>
    </xf>
    <xf numFmtId="164" applyNumberFormat="1" fontId="12" applyFont="1" fillId="2" applyFill="1" borderId="1" applyBorder="1" xfId="1" quotePrefix="1">
      <alignment horizontal="center" vertical="center" wrapText="1"/>
    </xf>
    <xf numFmtId="164" applyNumberFormat="1" fontId="14" applyFont="1" fillId="2" applyFill="1" borderId="1" applyBorder="1" xfId="1">
      <alignment horizontal="center" vertical="center" wrapText="1"/>
    </xf>
    <xf numFmtId="0" applyNumberFormat="1" fontId="12" applyFont="1" fillId="2" applyFill="1" borderId="1" applyBorder="1" xfId="6">
      <alignment vertical="center"/>
    </xf>
    <xf numFmtId="0" applyNumberFormat="1" fontId="3" applyFont="1" fillId="2" applyFill="1" borderId="1" applyBorder="1" xfId="6">
      <alignment vertical="center" wrapText="1"/>
    </xf>
    <xf numFmtId="164" applyNumberFormat="1" fontId="3" applyFont="1" fillId="2" applyFill="1" borderId="1" applyBorder="1" xfId="1">
      <alignment vertical="center" wrapText="1"/>
    </xf>
    <xf numFmtId="0" applyNumberFormat="1" fontId="3" applyFont="1" fillId="2" applyFill="1" borderId="1" applyBorder="1" xfId="6">
      <alignment horizontal="center" vertical="center" wrapText="1"/>
    </xf>
    <xf numFmtId="164" applyNumberFormat="1" fontId="14" applyFont="1" fillId="2" applyFill="1" borderId="1" applyBorder="1" xfId="1" quotePrefix="1">
      <alignment horizontal="right" vertical="center" wrapText="1"/>
    </xf>
    <xf numFmtId="0" applyNumberFormat="1" fontId="14" applyFont="1" fillId="2" applyFill="1" borderId="1" applyBorder="1" xfId="3">
      <alignment horizontal="center" vertical="center" wrapText="1"/>
    </xf>
    <xf numFmtId="49" applyNumberFormat="1" fontId="3" applyFont="1" fillId="2" applyFill="1" borderId="1" applyBorder="1" xfId="3">
      <alignment vertical="center" wrapText="1"/>
    </xf>
    <xf numFmtId="49" applyNumberFormat="1" fontId="12" applyFont="1" fillId="2" applyFill="1" borderId="1" applyBorder="1" xfId="3">
      <alignment vertical="center" wrapText="1"/>
    </xf>
    <xf numFmtId="11" applyNumberFormat="1" fontId="3" applyFont="1" fillId="2" applyFill="1" borderId="1" applyBorder="1" xfId="1">
      <alignment horizontal="left" vertical="center" wrapText="1"/>
    </xf>
    <xf numFmtId="164" applyNumberFormat="1" fontId="10" applyFont="1" fillId="2" applyFill="1" borderId="1" applyBorder="1" xfId="1">
      <alignment horizontal="center" vertical="center" wrapText="1"/>
    </xf>
    <xf numFmtId="0" applyNumberFormat="1" fontId="15" applyFont="1" fillId="2" applyFill="1" borderId="0" applyBorder="1" xfId="3">
      <alignment vertical="center"/>
    </xf>
    <xf numFmtId="164" applyNumberFormat="1" fontId="12" applyFont="1" fillId="2" applyFill="1" borderId="3" applyBorder="1" xfId="1">
      <alignment horizontal="center" vertical="center" wrapText="1"/>
    </xf>
    <xf numFmtId="0" applyNumberFormat="1" fontId="19" applyFont="1" fillId="0" applyFill="1" borderId="0" applyBorder="1" xfId="0">
      <alignment vertical="top" wrapText="1"/>
    </xf>
    <xf numFmtId="0" applyNumberFormat="1" fontId="20" applyFont="1" fillId="0" applyFill="1" borderId="0" applyBorder="1" xfId="0">
      <alignment vertical="center"/>
    </xf>
    <xf numFmtId="0" applyNumberFormat="1" fontId="19" applyFont="1" fillId="0" applyFill="1" borderId="0" applyBorder="1" xfId="0">
      <alignment vertical="center" wrapText="1"/>
    </xf>
    <xf numFmtId="49" applyNumberFormat="1" fontId="12" applyFont="1" fillId="2" applyFill="1" borderId="1" applyBorder="1" xfId="3">
      <alignment horizontal="center" vertical="center" wrapText="1"/>
    </xf>
    <xf numFmtId="0" applyNumberFormat="1" fontId="12" applyFont="1" fillId="2" applyFill="1" borderId="1" applyBorder="1" xfId="3">
      <alignment horizontal="center" vertical="center" wrapText="1"/>
    </xf>
    <xf numFmtId="164" applyNumberFormat="1" fontId="12" applyFont="1" fillId="2" applyFill="1" borderId="7" applyBorder="1" xfId="1">
      <alignment horizontal="center" vertical="center" wrapText="1"/>
    </xf>
    <xf numFmtId="164" applyNumberFormat="1" fontId="12" applyFont="1" fillId="2" applyFill="1" borderId="6" applyBorder="1" xfId="1">
      <alignment horizontal="center" vertical="center" wrapText="1"/>
    </xf>
    <xf numFmtId="164" applyNumberFormat="1" fontId="12" applyFont="1" fillId="2" applyFill="1" borderId="5" applyBorder="1" xfId="1">
      <alignment horizontal="center" vertical="center" wrapText="1"/>
    </xf>
    <xf numFmtId="49" applyNumberFormat="1" fontId="12" applyFont="1" fillId="2" applyFill="1" borderId="3" applyBorder="1" xfId="3">
      <alignment horizontal="center" vertical="center" wrapText="1"/>
    </xf>
    <xf numFmtId="49" applyNumberFormat="1" fontId="12" applyFont="1" fillId="2" applyFill="1" borderId="4" applyBorder="1" xfId="3">
      <alignment horizontal="center" vertical="center" wrapText="1"/>
    </xf>
    <xf numFmtId="49" applyNumberFormat="1" fontId="12" applyFont="1" fillId="2" applyFill="1" borderId="2" applyBorder="1" xfId="3">
      <alignment horizontal="center" vertical="center" wrapText="1"/>
    </xf>
    <xf numFmtId="0" applyNumberFormat="1" fontId="19" applyFont="1" fillId="0" applyFill="1" borderId="0" applyBorder="1" xfId="0">
      <alignment horizontal="center" vertical="top" wrapText="1"/>
    </xf>
    <xf numFmtId="0" applyNumberFormat="1" fontId="19" applyFont="1" fillId="0" applyFill="1" borderId="0" applyBorder="1" xfId="0">
      <alignment horizontal="center" vertical="center" wrapText="1"/>
    </xf>
    <xf numFmtId="0" applyNumberFormat="1" fontId="18" applyFont="1" fillId="2" applyFill="1" borderId="0" applyBorder="1" xfId="5">
      <alignment horizontal="center" vertical="center" wrapText="1"/>
    </xf>
    <xf numFmtId="164" applyNumberFormat="1" fontId="12" applyFont="1" fillId="2" applyFill="1" borderId="1" applyBorder="1" xfId="1">
      <alignment horizontal="center" vertical="center" wrapText="1"/>
    </xf>
    <xf numFmtId="0" applyNumberFormat="1" fontId="3" applyFont="1" fillId="2" applyFill="1" borderId="1" applyBorder="1" xfId="3">
      <alignment horizontal="center" vertical="center" wrapText="1"/>
    </xf>
    <xf numFmtId="164" applyNumberFormat="1" fontId="3" applyFont="1" fillId="2" applyFill="1" borderId="1" applyBorder="1" xfId="1">
      <alignment horizontal="center" vertical="center" wrapText="1"/>
    </xf>
    <xf numFmtId="0" applyNumberFormat="1" fontId="3" applyFont="1" fillId="2" applyFill="1" borderId="3" applyBorder="1" xfId="3">
      <alignment horizontal="center" vertical="center" wrapText="1"/>
    </xf>
    <xf numFmtId="0" applyNumberFormat="1" fontId="3" applyFont="1" fillId="2" applyFill="1" borderId="2" applyBorder="1" xfId="3">
      <alignment horizontal="center" vertical="center" wrapText="1"/>
    </xf>
    <xf numFmtId="164" applyNumberFormat="1" fontId="3" applyFont="1" fillId="2" applyFill="1" borderId="3" applyBorder="1" xfId="1">
      <alignment horizontal="center" vertical="center" wrapText="1"/>
    </xf>
    <xf numFmtId="164" applyNumberFormat="1" fontId="3" applyFont="1" fillId="2" applyFill="1" borderId="2" applyBorder="1" xfId="1">
      <alignment horizontal="center" vertical="center" wrapText="1"/>
    </xf>
    <xf numFmtId="0" applyNumberFormat="1" fontId="16" applyFont="1" fillId="2" applyFill="1" borderId="0" applyBorder="1" xfId="3">
      <alignment horizontal="center" vertical="center" wrapText="1"/>
    </xf>
    <xf numFmtId="0" applyNumberFormat="1" fontId="16" applyFont="1" fillId="2" applyFill="1" borderId="8" applyBorder="1" xfId="3">
      <alignment horizontal="center" vertical="center" wrapText="1"/>
    </xf>
    <xf numFmtId="49" applyNumberFormat="1" fontId="3" applyFont="1" fillId="2" applyFill="1" borderId="1" applyBorder="1" xfId="3">
      <alignment horizontal="center" vertical="center" wrapText="1"/>
    </xf>
    <xf numFmtId="0" applyNumberFormat="1" fontId="21" applyFont="1" fillId="2" applyFill="1" borderId="0" applyBorder="1" xfId="6">
      <alignment vertical="center" wrapText="1"/>
    </xf>
    <xf numFmtId="0" applyNumberFormat="1" fontId="21" applyFont="1" fillId="2" applyFill="1" borderId="0" applyBorder="1" xfId="6">
      <alignment vertical="center"/>
    </xf>
  </cellXfs>
  <cellStyles count="7">
    <cellStyle name="Comma" xfId="1" builtinId="3"/>
    <cellStyle name="Comma 11" xfId="2"/>
    <cellStyle name="Normal" xfId="0" builtinId="0"/>
    <cellStyle name="Normal 12 2" xfId="3"/>
    <cellStyle name="Normal 14 4" xfId="4"/>
    <cellStyle name="Normal_Ke hoach tai chinh 2008 2" xfId="5"/>
    <cellStyle name="Normal_Trang phuc nghanh,bao ve 200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384572</xdr:colOff>
      <xdr:row>0</xdr:row>
      <xdr:rowOff>422671</xdr:rowOff>
    </xdr:from>
    <xdr:to>
      <xdr:col>2</xdr:col>
      <xdr:colOff>404812</xdr:colOff>
      <xdr:row>0</xdr:row>
      <xdr:rowOff>433648</xdr:rowOff>
    </xdr:to>
    <xdr:sp macro="" textlink="">
      <xdr:nvSpPr>
        <xdr:cNvPr id="4" name="Straight Connector 3">
          <a:extLst>
            <a:ext uri="{FF2B5EF4-FFF2-40B4-BE49-F238E27FC236}">
              <a16:creationId xmlns:a16="http://schemas.microsoft.com/office/drawing/2014/main" id="{6940EC27-226B-4338-9879-573D38D98620}"/>
            </a:ext>
          </a:extLst>
        </xdr:cNvPr>
        <xdr:cNvSpPr>
          <a:spLocks/>
        </xdr:cNvSpPr>
      </xdr:nvSpPr>
      <xdr:spPr>
        <a:xfrm flipV="1">
          <a:off x="735806" y="422671"/>
          <a:ext cx="2318147" cy="10977"/>
        </a:xfrm>
        <a:prstGeom prst="line">
          <a:avLst/>
        </a:prstGeom>
        <a:noFill/>
        <a:ln w="9525" cmpd="sng">
          <a:solidFill>
            <a:srgbClr val="000000"/>
          </a:solidFill>
          <a:headEnd type="none"/>
          <a:tailEnd type="none"/>
        </a:ln>
      </xdr:spPr>
      <xdr:txBody>
        <a:bodyPr vertOverflow="clip" wrap="square" lIns="91440" tIns="45720" rIns="91440" bIns="45720"/>
        <a:lstStyle/>
        <a:p>
          <a:pPr algn="l">
            <a:defRPr/>
          </a:pPr>
          <a:endParaRPr/>
        </a:p>
      </xdr:txBody>
    </xdr:sp>
    <xdr:clientData/>
  </xdr:twoCellAnchor>
  <xdr:twoCellAnchor>
    <xdr:from>
      <xdr:col>11</xdr:col>
      <xdr:colOff>613568</xdr:colOff>
      <xdr:row>0</xdr:row>
      <xdr:rowOff>525462</xdr:rowOff>
    </xdr:from>
    <xdr:to>
      <xdr:col>13</xdr:col>
      <xdr:colOff>380999</xdr:colOff>
      <xdr:row>0</xdr:row>
      <xdr:rowOff>525462</xdr:rowOff>
    </xdr:to>
    <xdr:sp macro="" textlink="">
      <xdr:nvSpPr>
        <xdr:cNvPr id="5" name="Straight Connector 6">
          <a:extLst>
            <a:ext uri="{FF2B5EF4-FFF2-40B4-BE49-F238E27FC236}">
              <a16:creationId xmlns:a16="http://schemas.microsoft.com/office/drawing/2014/main" id="{BDC56FD6-7BA8-42AD-B546-881E670BA0B6}"/>
            </a:ext>
          </a:extLst>
        </xdr:cNvPr>
        <xdr:cNvSpPr>
          <a:spLocks/>
        </xdr:cNvSpPr>
      </xdr:nvSpPr>
      <xdr:spPr>
        <a:xfrm flipV="1">
          <a:off x="9741693" y="525462"/>
          <a:ext cx="1299369" cy="0"/>
        </a:xfrm>
        <a:prstGeom prst="line">
          <a:avLst/>
        </a:prstGeom>
        <a:noFill/>
        <a:ln w="9525" cmpd="sng">
          <a:solidFill>
            <a:srgbClr val="000000"/>
          </a:solidFill>
          <a:headEnd type="none"/>
          <a:tailEnd type="none"/>
        </a:ln>
      </xdr:spPr>
      <xdr:txBody>
        <a:bodyPr vertOverflow="clip" wrap="square" lIns="91440" tIns="45720" rIns="91440" bIns="45720"/>
        <a:lstStyle/>
        <a:p>
          <a:pPr algn="l">
            <a:defRPr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CAC9-7580-4D8D-B401-AACD5A51EE2F}">
  <dimension ref="A1:U63"/>
  <sheetViews>
    <sheetView tabSelected="1" view="pageLayout" zoomScaleNormal="120" workbookViewId="0">
      <selection activeCell="Q32" sqref="Q32:Q33"/>
    </sheetView>
  </sheetViews>
  <sheetFormatPr defaultColWidth="8.5703125" defaultRowHeight="15.75"/>
  <cols>
    <col min="1" max="1" width="5.28515625" customWidth="1" style="11"/>
    <col min="2" max="2" width="34.42578125" customWidth="1" style="13"/>
    <col min="3" max="3" width="18.5703125" customWidth="1" style="13"/>
    <col min="4" max="4" width="13.42578125" customWidth="1" style="13"/>
    <col min="5" max="5" width="12" customWidth="1" style="13"/>
    <col min="6" max="6" width="9.5703125" customWidth="1" style="13"/>
    <col min="7" max="7" width="7.140625" customWidth="1" style="12"/>
    <col min="8" max="8" width="7.42578125" customWidth="1" style="12"/>
    <col min="9" max="9" width="6.28515625" customWidth="1" style="11"/>
    <col min="10" max="10" width="11.7109375" customWidth="1" style="10"/>
    <col min="11" max="11" width="11.140625" customWidth="1" style="10"/>
    <col min="12" max="12" width="11.28515625" customWidth="1" style="10"/>
    <col min="13" max="13" width="11.7109375" customWidth="1" style="9"/>
    <col min="14" max="14" width="12.28515625" customWidth="1" style="8"/>
    <col min="15" max="15" width="11.140625" customWidth="1" style="8"/>
    <col min="16" max="16" width="12.5703125" customWidth="1" style="7"/>
    <col min="17" max="255" width="8.5703125" customWidth="1" style="7"/>
    <col min="256" max="256" width="5.28515625" customWidth="1" style="7"/>
    <col min="257" max="257" width="26" customWidth="1" style="7"/>
    <col min="258" max="258" width="7.7109375" customWidth="1" style="7"/>
    <col min="259" max="259" width="20.7109375" customWidth="1" style="7"/>
    <col min="260" max="260" width="17" customWidth="1" style="7"/>
    <col min="261" max="261" width="11.5703125" customWidth="1" style="7"/>
    <col min="262" max="262" width="8.85546875" customWidth="1" style="7"/>
    <col min="263" max="263" width="9.5703125" customWidth="1" style="7"/>
    <col min="264" max="264" width="6.28515625" customWidth="1" style="7"/>
    <col min="265" max="265" width="7.42578125" customWidth="1" style="7"/>
    <col min="266" max="266" width="6" customWidth="1" style="7"/>
    <col min="267" max="269" hidden="1" width="0" customWidth="1" style="7"/>
    <col min="270" max="270" width="9.28515625" customWidth="1" style="7"/>
    <col min="271" max="271" width="9.7109375" customWidth="1" style="7"/>
    <col min="272" max="272" width="14.85546875" customWidth="1" style="7"/>
    <col min="273" max="511" width="8.5703125" customWidth="1" style="7"/>
    <col min="512" max="512" width="5.28515625" customWidth="1" style="7"/>
    <col min="513" max="513" width="26" customWidth="1" style="7"/>
    <col min="514" max="514" width="7.7109375" customWidth="1" style="7"/>
    <col min="515" max="515" width="20.7109375" customWidth="1" style="7"/>
    <col min="516" max="516" width="17" customWidth="1" style="7"/>
    <col min="517" max="517" width="11.5703125" customWidth="1" style="7"/>
    <col min="518" max="518" width="8.85546875" customWidth="1" style="7"/>
    <col min="519" max="519" width="9.5703125" customWidth="1" style="7"/>
    <col min="520" max="520" width="6.28515625" customWidth="1" style="7"/>
    <col min="521" max="521" width="7.42578125" customWidth="1" style="7"/>
    <col min="522" max="522" width="6" customWidth="1" style="7"/>
    <col min="523" max="525" hidden="1" width="0" customWidth="1" style="7"/>
    <col min="526" max="526" width="9.28515625" customWidth="1" style="7"/>
    <col min="527" max="527" width="9.7109375" customWidth="1" style="7"/>
    <col min="528" max="528" width="14.85546875" customWidth="1" style="7"/>
    <col min="529" max="767" width="8.5703125" customWidth="1" style="7"/>
    <col min="768" max="768" width="5.28515625" customWidth="1" style="7"/>
    <col min="769" max="769" width="26" customWidth="1" style="7"/>
    <col min="770" max="770" width="7.7109375" customWidth="1" style="7"/>
    <col min="771" max="771" width="20.7109375" customWidth="1" style="7"/>
    <col min="772" max="772" width="17" customWidth="1" style="7"/>
    <col min="773" max="773" width="11.5703125" customWidth="1" style="7"/>
    <col min="774" max="774" width="8.85546875" customWidth="1" style="7"/>
    <col min="775" max="775" width="9.5703125" customWidth="1" style="7"/>
    <col min="776" max="776" width="6.28515625" customWidth="1" style="7"/>
    <col min="777" max="777" width="7.42578125" customWidth="1" style="7"/>
    <col min="778" max="778" width="6" customWidth="1" style="7"/>
    <col min="779" max="781" hidden="1" width="0" customWidth="1" style="7"/>
    <col min="782" max="782" width="9.28515625" customWidth="1" style="7"/>
    <col min="783" max="783" width="9.7109375" customWidth="1" style="7"/>
    <col min="784" max="784" width="14.85546875" customWidth="1" style="7"/>
    <col min="785" max="1023" width="8.5703125" customWidth="1" style="7"/>
    <col min="1024" max="1024" width="5.28515625" customWidth="1" style="7"/>
    <col min="1025" max="1025" width="26" customWidth="1" style="7"/>
    <col min="1026" max="1026" width="7.7109375" customWidth="1" style="7"/>
    <col min="1027" max="1027" width="20.7109375" customWidth="1" style="7"/>
    <col min="1028" max="1028" width="17" customWidth="1" style="7"/>
    <col min="1029" max="1029" width="11.5703125" customWidth="1" style="7"/>
    <col min="1030" max="1030" width="8.85546875" customWidth="1" style="7"/>
    <col min="1031" max="1031" width="9.5703125" customWidth="1" style="7"/>
    <col min="1032" max="1032" width="6.28515625" customWidth="1" style="7"/>
    <col min="1033" max="1033" width="7.42578125" customWidth="1" style="7"/>
    <col min="1034" max="1034" width="6" customWidth="1" style="7"/>
    <col min="1035" max="1037" hidden="1" width="0" customWidth="1" style="7"/>
    <col min="1038" max="1038" width="9.28515625" customWidth="1" style="7"/>
    <col min="1039" max="1039" width="9.7109375" customWidth="1" style="7"/>
    <col min="1040" max="1040" width="14.85546875" customWidth="1" style="7"/>
    <col min="1041" max="1279" width="8.5703125" customWidth="1" style="7"/>
    <col min="1280" max="1280" width="5.28515625" customWidth="1" style="7"/>
    <col min="1281" max="1281" width="26" customWidth="1" style="7"/>
    <col min="1282" max="1282" width="7.7109375" customWidth="1" style="7"/>
    <col min="1283" max="1283" width="20.7109375" customWidth="1" style="7"/>
    <col min="1284" max="1284" width="17" customWidth="1" style="7"/>
    <col min="1285" max="1285" width="11.5703125" customWidth="1" style="7"/>
    <col min="1286" max="1286" width="8.85546875" customWidth="1" style="7"/>
    <col min="1287" max="1287" width="9.5703125" customWidth="1" style="7"/>
    <col min="1288" max="1288" width="6.28515625" customWidth="1" style="7"/>
    <col min="1289" max="1289" width="7.42578125" customWidth="1" style="7"/>
    <col min="1290" max="1290" width="6" customWidth="1" style="7"/>
    <col min="1291" max="1293" hidden="1" width="0" customWidth="1" style="7"/>
    <col min="1294" max="1294" width="9.28515625" customWidth="1" style="7"/>
    <col min="1295" max="1295" width="9.7109375" customWidth="1" style="7"/>
    <col min="1296" max="1296" width="14.85546875" customWidth="1" style="7"/>
    <col min="1297" max="1535" width="8.5703125" customWidth="1" style="7"/>
    <col min="1536" max="1536" width="5.28515625" customWidth="1" style="7"/>
    <col min="1537" max="1537" width="26" customWidth="1" style="7"/>
    <col min="1538" max="1538" width="7.7109375" customWidth="1" style="7"/>
    <col min="1539" max="1539" width="20.7109375" customWidth="1" style="7"/>
    <col min="1540" max="1540" width="17" customWidth="1" style="7"/>
    <col min="1541" max="1541" width="11.5703125" customWidth="1" style="7"/>
    <col min="1542" max="1542" width="8.85546875" customWidth="1" style="7"/>
    <col min="1543" max="1543" width="9.5703125" customWidth="1" style="7"/>
    <col min="1544" max="1544" width="6.28515625" customWidth="1" style="7"/>
    <col min="1545" max="1545" width="7.42578125" customWidth="1" style="7"/>
    <col min="1546" max="1546" width="6" customWidth="1" style="7"/>
    <col min="1547" max="1549" hidden="1" width="0" customWidth="1" style="7"/>
    <col min="1550" max="1550" width="9.28515625" customWidth="1" style="7"/>
    <col min="1551" max="1551" width="9.7109375" customWidth="1" style="7"/>
    <col min="1552" max="1552" width="14.85546875" customWidth="1" style="7"/>
    <col min="1553" max="1791" width="8.5703125" customWidth="1" style="7"/>
    <col min="1792" max="1792" width="5.28515625" customWidth="1" style="7"/>
    <col min="1793" max="1793" width="26" customWidth="1" style="7"/>
    <col min="1794" max="1794" width="7.7109375" customWidth="1" style="7"/>
    <col min="1795" max="1795" width="20.7109375" customWidth="1" style="7"/>
    <col min="1796" max="1796" width="17" customWidth="1" style="7"/>
    <col min="1797" max="1797" width="11.5703125" customWidth="1" style="7"/>
    <col min="1798" max="1798" width="8.85546875" customWidth="1" style="7"/>
    <col min="1799" max="1799" width="9.5703125" customWidth="1" style="7"/>
    <col min="1800" max="1800" width="6.28515625" customWidth="1" style="7"/>
    <col min="1801" max="1801" width="7.42578125" customWidth="1" style="7"/>
    <col min="1802" max="1802" width="6" customWidth="1" style="7"/>
    <col min="1803" max="1805" hidden="1" width="0" customWidth="1" style="7"/>
    <col min="1806" max="1806" width="9.28515625" customWidth="1" style="7"/>
    <col min="1807" max="1807" width="9.7109375" customWidth="1" style="7"/>
    <col min="1808" max="1808" width="14.85546875" customWidth="1" style="7"/>
    <col min="1809" max="2047" width="8.5703125" customWidth="1" style="7"/>
    <col min="2048" max="2048" width="5.28515625" customWidth="1" style="7"/>
    <col min="2049" max="2049" width="26" customWidth="1" style="7"/>
    <col min="2050" max="2050" width="7.7109375" customWidth="1" style="7"/>
    <col min="2051" max="2051" width="20.7109375" customWidth="1" style="7"/>
    <col min="2052" max="2052" width="17" customWidth="1" style="7"/>
    <col min="2053" max="2053" width="11.5703125" customWidth="1" style="7"/>
    <col min="2054" max="2054" width="8.85546875" customWidth="1" style="7"/>
    <col min="2055" max="2055" width="9.5703125" customWidth="1" style="7"/>
    <col min="2056" max="2056" width="6.28515625" customWidth="1" style="7"/>
    <col min="2057" max="2057" width="7.42578125" customWidth="1" style="7"/>
    <col min="2058" max="2058" width="6" customWidth="1" style="7"/>
    <col min="2059" max="2061" hidden="1" width="0" customWidth="1" style="7"/>
    <col min="2062" max="2062" width="9.28515625" customWidth="1" style="7"/>
    <col min="2063" max="2063" width="9.7109375" customWidth="1" style="7"/>
    <col min="2064" max="2064" width="14.85546875" customWidth="1" style="7"/>
    <col min="2065" max="2303" width="8.5703125" customWidth="1" style="7"/>
    <col min="2304" max="2304" width="5.28515625" customWidth="1" style="7"/>
    <col min="2305" max="2305" width="26" customWidth="1" style="7"/>
    <col min="2306" max="2306" width="7.7109375" customWidth="1" style="7"/>
    <col min="2307" max="2307" width="20.7109375" customWidth="1" style="7"/>
    <col min="2308" max="2308" width="17" customWidth="1" style="7"/>
    <col min="2309" max="2309" width="11.5703125" customWidth="1" style="7"/>
    <col min="2310" max="2310" width="8.85546875" customWidth="1" style="7"/>
    <col min="2311" max="2311" width="9.5703125" customWidth="1" style="7"/>
    <col min="2312" max="2312" width="6.28515625" customWidth="1" style="7"/>
    <col min="2313" max="2313" width="7.42578125" customWidth="1" style="7"/>
    <col min="2314" max="2314" width="6" customWidth="1" style="7"/>
    <col min="2315" max="2317" hidden="1" width="0" customWidth="1" style="7"/>
    <col min="2318" max="2318" width="9.28515625" customWidth="1" style="7"/>
    <col min="2319" max="2319" width="9.7109375" customWidth="1" style="7"/>
    <col min="2320" max="2320" width="14.85546875" customWidth="1" style="7"/>
    <col min="2321" max="2559" width="8.5703125" customWidth="1" style="7"/>
    <col min="2560" max="2560" width="5.28515625" customWidth="1" style="7"/>
    <col min="2561" max="2561" width="26" customWidth="1" style="7"/>
    <col min="2562" max="2562" width="7.7109375" customWidth="1" style="7"/>
    <col min="2563" max="2563" width="20.7109375" customWidth="1" style="7"/>
    <col min="2564" max="2564" width="17" customWidth="1" style="7"/>
    <col min="2565" max="2565" width="11.5703125" customWidth="1" style="7"/>
    <col min="2566" max="2566" width="8.85546875" customWidth="1" style="7"/>
    <col min="2567" max="2567" width="9.5703125" customWidth="1" style="7"/>
    <col min="2568" max="2568" width="6.28515625" customWidth="1" style="7"/>
    <col min="2569" max="2569" width="7.42578125" customWidth="1" style="7"/>
    <col min="2570" max="2570" width="6" customWidth="1" style="7"/>
    <col min="2571" max="2573" hidden="1" width="0" customWidth="1" style="7"/>
    <col min="2574" max="2574" width="9.28515625" customWidth="1" style="7"/>
    <col min="2575" max="2575" width="9.7109375" customWidth="1" style="7"/>
    <col min="2576" max="2576" width="14.85546875" customWidth="1" style="7"/>
    <col min="2577" max="2815" width="8.5703125" customWidth="1" style="7"/>
    <col min="2816" max="2816" width="5.28515625" customWidth="1" style="7"/>
    <col min="2817" max="2817" width="26" customWidth="1" style="7"/>
    <col min="2818" max="2818" width="7.7109375" customWidth="1" style="7"/>
    <col min="2819" max="2819" width="20.7109375" customWidth="1" style="7"/>
    <col min="2820" max="2820" width="17" customWidth="1" style="7"/>
    <col min="2821" max="2821" width="11.5703125" customWidth="1" style="7"/>
    <col min="2822" max="2822" width="8.85546875" customWidth="1" style="7"/>
    <col min="2823" max="2823" width="9.5703125" customWidth="1" style="7"/>
    <col min="2824" max="2824" width="6.28515625" customWidth="1" style="7"/>
    <col min="2825" max="2825" width="7.42578125" customWidth="1" style="7"/>
    <col min="2826" max="2826" width="6" customWidth="1" style="7"/>
    <col min="2827" max="2829" hidden="1" width="0" customWidth="1" style="7"/>
    <col min="2830" max="2830" width="9.28515625" customWidth="1" style="7"/>
    <col min="2831" max="2831" width="9.7109375" customWidth="1" style="7"/>
    <col min="2832" max="2832" width="14.85546875" customWidth="1" style="7"/>
    <col min="2833" max="3071" width="8.5703125" customWidth="1" style="7"/>
    <col min="3072" max="3072" width="5.28515625" customWidth="1" style="7"/>
    <col min="3073" max="3073" width="26" customWidth="1" style="7"/>
    <col min="3074" max="3074" width="7.7109375" customWidth="1" style="7"/>
    <col min="3075" max="3075" width="20.7109375" customWidth="1" style="7"/>
    <col min="3076" max="3076" width="17" customWidth="1" style="7"/>
    <col min="3077" max="3077" width="11.5703125" customWidth="1" style="7"/>
    <col min="3078" max="3078" width="8.85546875" customWidth="1" style="7"/>
    <col min="3079" max="3079" width="9.5703125" customWidth="1" style="7"/>
    <col min="3080" max="3080" width="6.28515625" customWidth="1" style="7"/>
    <col min="3081" max="3081" width="7.42578125" customWidth="1" style="7"/>
    <col min="3082" max="3082" width="6" customWidth="1" style="7"/>
    <col min="3083" max="3085" hidden="1" width="0" customWidth="1" style="7"/>
    <col min="3086" max="3086" width="9.28515625" customWidth="1" style="7"/>
    <col min="3087" max="3087" width="9.7109375" customWidth="1" style="7"/>
    <col min="3088" max="3088" width="14.85546875" customWidth="1" style="7"/>
    <col min="3089" max="3327" width="8.5703125" customWidth="1" style="7"/>
    <col min="3328" max="3328" width="5.28515625" customWidth="1" style="7"/>
    <col min="3329" max="3329" width="26" customWidth="1" style="7"/>
    <col min="3330" max="3330" width="7.7109375" customWidth="1" style="7"/>
    <col min="3331" max="3331" width="20.7109375" customWidth="1" style="7"/>
    <col min="3332" max="3332" width="17" customWidth="1" style="7"/>
    <col min="3333" max="3333" width="11.5703125" customWidth="1" style="7"/>
    <col min="3334" max="3334" width="8.85546875" customWidth="1" style="7"/>
    <col min="3335" max="3335" width="9.5703125" customWidth="1" style="7"/>
    <col min="3336" max="3336" width="6.28515625" customWidth="1" style="7"/>
    <col min="3337" max="3337" width="7.42578125" customWidth="1" style="7"/>
    <col min="3338" max="3338" width="6" customWidth="1" style="7"/>
    <col min="3339" max="3341" hidden="1" width="0" customWidth="1" style="7"/>
    <col min="3342" max="3342" width="9.28515625" customWidth="1" style="7"/>
    <col min="3343" max="3343" width="9.7109375" customWidth="1" style="7"/>
    <col min="3344" max="3344" width="14.85546875" customWidth="1" style="7"/>
    <col min="3345" max="3583" width="8.5703125" customWidth="1" style="7"/>
    <col min="3584" max="3584" width="5.28515625" customWidth="1" style="7"/>
    <col min="3585" max="3585" width="26" customWidth="1" style="7"/>
    <col min="3586" max="3586" width="7.7109375" customWidth="1" style="7"/>
    <col min="3587" max="3587" width="20.7109375" customWidth="1" style="7"/>
    <col min="3588" max="3588" width="17" customWidth="1" style="7"/>
    <col min="3589" max="3589" width="11.5703125" customWidth="1" style="7"/>
    <col min="3590" max="3590" width="8.85546875" customWidth="1" style="7"/>
    <col min="3591" max="3591" width="9.5703125" customWidth="1" style="7"/>
    <col min="3592" max="3592" width="6.28515625" customWidth="1" style="7"/>
    <col min="3593" max="3593" width="7.42578125" customWidth="1" style="7"/>
    <col min="3594" max="3594" width="6" customWidth="1" style="7"/>
    <col min="3595" max="3597" hidden="1" width="0" customWidth="1" style="7"/>
    <col min="3598" max="3598" width="9.28515625" customWidth="1" style="7"/>
    <col min="3599" max="3599" width="9.7109375" customWidth="1" style="7"/>
    <col min="3600" max="3600" width="14.85546875" customWidth="1" style="7"/>
    <col min="3601" max="3839" width="8.5703125" customWidth="1" style="7"/>
    <col min="3840" max="3840" width="5.28515625" customWidth="1" style="7"/>
    <col min="3841" max="3841" width="26" customWidth="1" style="7"/>
    <col min="3842" max="3842" width="7.7109375" customWidth="1" style="7"/>
    <col min="3843" max="3843" width="20.7109375" customWidth="1" style="7"/>
    <col min="3844" max="3844" width="17" customWidth="1" style="7"/>
    <col min="3845" max="3845" width="11.5703125" customWidth="1" style="7"/>
    <col min="3846" max="3846" width="8.85546875" customWidth="1" style="7"/>
    <col min="3847" max="3847" width="9.5703125" customWidth="1" style="7"/>
    <col min="3848" max="3848" width="6.28515625" customWidth="1" style="7"/>
    <col min="3849" max="3849" width="7.42578125" customWidth="1" style="7"/>
    <col min="3850" max="3850" width="6" customWidth="1" style="7"/>
    <col min="3851" max="3853" hidden="1" width="0" customWidth="1" style="7"/>
    <col min="3854" max="3854" width="9.28515625" customWidth="1" style="7"/>
    <col min="3855" max="3855" width="9.7109375" customWidth="1" style="7"/>
    <col min="3856" max="3856" width="14.85546875" customWidth="1" style="7"/>
    <col min="3857" max="4095" width="8.5703125" customWidth="1" style="7"/>
    <col min="4096" max="4096" width="5.28515625" customWidth="1" style="7"/>
    <col min="4097" max="4097" width="26" customWidth="1" style="7"/>
    <col min="4098" max="4098" width="7.7109375" customWidth="1" style="7"/>
    <col min="4099" max="4099" width="20.7109375" customWidth="1" style="7"/>
    <col min="4100" max="4100" width="17" customWidth="1" style="7"/>
    <col min="4101" max="4101" width="11.5703125" customWidth="1" style="7"/>
    <col min="4102" max="4102" width="8.85546875" customWidth="1" style="7"/>
    <col min="4103" max="4103" width="9.5703125" customWidth="1" style="7"/>
    <col min="4104" max="4104" width="6.28515625" customWidth="1" style="7"/>
    <col min="4105" max="4105" width="7.42578125" customWidth="1" style="7"/>
    <col min="4106" max="4106" width="6" customWidth="1" style="7"/>
    <col min="4107" max="4109" hidden="1" width="0" customWidth="1" style="7"/>
    <col min="4110" max="4110" width="9.28515625" customWidth="1" style="7"/>
    <col min="4111" max="4111" width="9.7109375" customWidth="1" style="7"/>
    <col min="4112" max="4112" width="14.85546875" customWidth="1" style="7"/>
    <col min="4113" max="4351" width="8.5703125" customWidth="1" style="7"/>
    <col min="4352" max="4352" width="5.28515625" customWidth="1" style="7"/>
    <col min="4353" max="4353" width="26" customWidth="1" style="7"/>
    <col min="4354" max="4354" width="7.7109375" customWidth="1" style="7"/>
    <col min="4355" max="4355" width="20.7109375" customWidth="1" style="7"/>
    <col min="4356" max="4356" width="17" customWidth="1" style="7"/>
    <col min="4357" max="4357" width="11.5703125" customWidth="1" style="7"/>
    <col min="4358" max="4358" width="8.85546875" customWidth="1" style="7"/>
    <col min="4359" max="4359" width="9.5703125" customWidth="1" style="7"/>
    <col min="4360" max="4360" width="6.28515625" customWidth="1" style="7"/>
    <col min="4361" max="4361" width="7.42578125" customWidth="1" style="7"/>
    <col min="4362" max="4362" width="6" customWidth="1" style="7"/>
    <col min="4363" max="4365" hidden="1" width="0" customWidth="1" style="7"/>
    <col min="4366" max="4366" width="9.28515625" customWidth="1" style="7"/>
    <col min="4367" max="4367" width="9.7109375" customWidth="1" style="7"/>
    <col min="4368" max="4368" width="14.85546875" customWidth="1" style="7"/>
    <col min="4369" max="4607" width="8.5703125" customWidth="1" style="7"/>
    <col min="4608" max="4608" width="5.28515625" customWidth="1" style="7"/>
    <col min="4609" max="4609" width="26" customWidth="1" style="7"/>
    <col min="4610" max="4610" width="7.7109375" customWidth="1" style="7"/>
    <col min="4611" max="4611" width="20.7109375" customWidth="1" style="7"/>
    <col min="4612" max="4612" width="17" customWidth="1" style="7"/>
    <col min="4613" max="4613" width="11.5703125" customWidth="1" style="7"/>
    <col min="4614" max="4614" width="8.85546875" customWidth="1" style="7"/>
    <col min="4615" max="4615" width="9.5703125" customWidth="1" style="7"/>
    <col min="4616" max="4616" width="6.28515625" customWidth="1" style="7"/>
    <col min="4617" max="4617" width="7.42578125" customWidth="1" style="7"/>
    <col min="4618" max="4618" width="6" customWidth="1" style="7"/>
    <col min="4619" max="4621" hidden="1" width="0" customWidth="1" style="7"/>
    <col min="4622" max="4622" width="9.28515625" customWidth="1" style="7"/>
    <col min="4623" max="4623" width="9.7109375" customWidth="1" style="7"/>
    <col min="4624" max="4624" width="14.85546875" customWidth="1" style="7"/>
    <col min="4625" max="4863" width="8.5703125" customWidth="1" style="7"/>
    <col min="4864" max="4864" width="5.28515625" customWidth="1" style="7"/>
    <col min="4865" max="4865" width="26" customWidth="1" style="7"/>
    <col min="4866" max="4866" width="7.7109375" customWidth="1" style="7"/>
    <col min="4867" max="4867" width="20.7109375" customWidth="1" style="7"/>
    <col min="4868" max="4868" width="17" customWidth="1" style="7"/>
    <col min="4869" max="4869" width="11.5703125" customWidth="1" style="7"/>
    <col min="4870" max="4870" width="8.85546875" customWidth="1" style="7"/>
    <col min="4871" max="4871" width="9.5703125" customWidth="1" style="7"/>
    <col min="4872" max="4872" width="6.28515625" customWidth="1" style="7"/>
    <col min="4873" max="4873" width="7.42578125" customWidth="1" style="7"/>
    <col min="4874" max="4874" width="6" customWidth="1" style="7"/>
    <col min="4875" max="4877" hidden="1" width="0" customWidth="1" style="7"/>
    <col min="4878" max="4878" width="9.28515625" customWidth="1" style="7"/>
    <col min="4879" max="4879" width="9.7109375" customWidth="1" style="7"/>
    <col min="4880" max="4880" width="14.85546875" customWidth="1" style="7"/>
    <col min="4881" max="5119" width="8.5703125" customWidth="1" style="7"/>
    <col min="5120" max="5120" width="5.28515625" customWidth="1" style="7"/>
    <col min="5121" max="5121" width="26" customWidth="1" style="7"/>
    <col min="5122" max="5122" width="7.7109375" customWidth="1" style="7"/>
    <col min="5123" max="5123" width="20.7109375" customWidth="1" style="7"/>
    <col min="5124" max="5124" width="17" customWidth="1" style="7"/>
    <col min="5125" max="5125" width="11.5703125" customWidth="1" style="7"/>
    <col min="5126" max="5126" width="8.85546875" customWidth="1" style="7"/>
    <col min="5127" max="5127" width="9.5703125" customWidth="1" style="7"/>
    <col min="5128" max="5128" width="6.28515625" customWidth="1" style="7"/>
    <col min="5129" max="5129" width="7.42578125" customWidth="1" style="7"/>
    <col min="5130" max="5130" width="6" customWidth="1" style="7"/>
    <col min="5131" max="5133" hidden="1" width="0" customWidth="1" style="7"/>
    <col min="5134" max="5134" width="9.28515625" customWidth="1" style="7"/>
    <col min="5135" max="5135" width="9.7109375" customWidth="1" style="7"/>
    <col min="5136" max="5136" width="14.85546875" customWidth="1" style="7"/>
    <col min="5137" max="5375" width="8.5703125" customWidth="1" style="7"/>
    <col min="5376" max="5376" width="5.28515625" customWidth="1" style="7"/>
    <col min="5377" max="5377" width="26" customWidth="1" style="7"/>
    <col min="5378" max="5378" width="7.7109375" customWidth="1" style="7"/>
    <col min="5379" max="5379" width="20.7109375" customWidth="1" style="7"/>
    <col min="5380" max="5380" width="17" customWidth="1" style="7"/>
    <col min="5381" max="5381" width="11.5703125" customWidth="1" style="7"/>
    <col min="5382" max="5382" width="8.85546875" customWidth="1" style="7"/>
    <col min="5383" max="5383" width="9.5703125" customWidth="1" style="7"/>
    <col min="5384" max="5384" width="6.28515625" customWidth="1" style="7"/>
    <col min="5385" max="5385" width="7.42578125" customWidth="1" style="7"/>
    <col min="5386" max="5386" width="6" customWidth="1" style="7"/>
    <col min="5387" max="5389" hidden="1" width="0" customWidth="1" style="7"/>
    <col min="5390" max="5390" width="9.28515625" customWidth="1" style="7"/>
    <col min="5391" max="5391" width="9.7109375" customWidth="1" style="7"/>
    <col min="5392" max="5392" width="14.85546875" customWidth="1" style="7"/>
    <col min="5393" max="5631" width="8.5703125" customWidth="1" style="7"/>
    <col min="5632" max="5632" width="5.28515625" customWidth="1" style="7"/>
    <col min="5633" max="5633" width="26" customWidth="1" style="7"/>
    <col min="5634" max="5634" width="7.7109375" customWidth="1" style="7"/>
    <col min="5635" max="5635" width="20.7109375" customWidth="1" style="7"/>
    <col min="5636" max="5636" width="17" customWidth="1" style="7"/>
    <col min="5637" max="5637" width="11.5703125" customWidth="1" style="7"/>
    <col min="5638" max="5638" width="8.85546875" customWidth="1" style="7"/>
    <col min="5639" max="5639" width="9.5703125" customWidth="1" style="7"/>
    <col min="5640" max="5640" width="6.28515625" customWidth="1" style="7"/>
    <col min="5641" max="5641" width="7.42578125" customWidth="1" style="7"/>
    <col min="5642" max="5642" width="6" customWidth="1" style="7"/>
    <col min="5643" max="5645" hidden="1" width="0" customWidth="1" style="7"/>
    <col min="5646" max="5646" width="9.28515625" customWidth="1" style="7"/>
    <col min="5647" max="5647" width="9.7109375" customWidth="1" style="7"/>
    <col min="5648" max="5648" width="14.85546875" customWidth="1" style="7"/>
    <col min="5649" max="5887" width="8.5703125" customWidth="1" style="7"/>
    <col min="5888" max="5888" width="5.28515625" customWidth="1" style="7"/>
    <col min="5889" max="5889" width="26" customWidth="1" style="7"/>
    <col min="5890" max="5890" width="7.7109375" customWidth="1" style="7"/>
    <col min="5891" max="5891" width="20.7109375" customWidth="1" style="7"/>
    <col min="5892" max="5892" width="17" customWidth="1" style="7"/>
    <col min="5893" max="5893" width="11.5703125" customWidth="1" style="7"/>
    <col min="5894" max="5894" width="8.85546875" customWidth="1" style="7"/>
    <col min="5895" max="5895" width="9.5703125" customWidth="1" style="7"/>
    <col min="5896" max="5896" width="6.28515625" customWidth="1" style="7"/>
    <col min="5897" max="5897" width="7.42578125" customWidth="1" style="7"/>
    <col min="5898" max="5898" width="6" customWidth="1" style="7"/>
    <col min="5899" max="5901" hidden="1" width="0" customWidth="1" style="7"/>
    <col min="5902" max="5902" width="9.28515625" customWidth="1" style="7"/>
    <col min="5903" max="5903" width="9.7109375" customWidth="1" style="7"/>
    <col min="5904" max="5904" width="14.85546875" customWidth="1" style="7"/>
    <col min="5905" max="6143" width="8.5703125" customWidth="1" style="7"/>
    <col min="6144" max="6144" width="5.28515625" customWidth="1" style="7"/>
    <col min="6145" max="6145" width="26" customWidth="1" style="7"/>
    <col min="6146" max="6146" width="7.7109375" customWidth="1" style="7"/>
    <col min="6147" max="6147" width="20.7109375" customWidth="1" style="7"/>
    <col min="6148" max="6148" width="17" customWidth="1" style="7"/>
    <col min="6149" max="6149" width="11.5703125" customWidth="1" style="7"/>
    <col min="6150" max="6150" width="8.85546875" customWidth="1" style="7"/>
    <col min="6151" max="6151" width="9.5703125" customWidth="1" style="7"/>
    <col min="6152" max="6152" width="6.28515625" customWidth="1" style="7"/>
    <col min="6153" max="6153" width="7.42578125" customWidth="1" style="7"/>
    <col min="6154" max="6154" width="6" customWidth="1" style="7"/>
    <col min="6155" max="6157" hidden="1" width="0" customWidth="1" style="7"/>
    <col min="6158" max="6158" width="9.28515625" customWidth="1" style="7"/>
    <col min="6159" max="6159" width="9.7109375" customWidth="1" style="7"/>
    <col min="6160" max="6160" width="14.85546875" customWidth="1" style="7"/>
    <col min="6161" max="6399" width="8.5703125" customWidth="1" style="7"/>
    <col min="6400" max="6400" width="5.28515625" customWidth="1" style="7"/>
    <col min="6401" max="6401" width="26" customWidth="1" style="7"/>
    <col min="6402" max="6402" width="7.7109375" customWidth="1" style="7"/>
    <col min="6403" max="6403" width="20.7109375" customWidth="1" style="7"/>
    <col min="6404" max="6404" width="17" customWidth="1" style="7"/>
    <col min="6405" max="6405" width="11.5703125" customWidth="1" style="7"/>
    <col min="6406" max="6406" width="8.85546875" customWidth="1" style="7"/>
    <col min="6407" max="6407" width="9.5703125" customWidth="1" style="7"/>
    <col min="6408" max="6408" width="6.28515625" customWidth="1" style="7"/>
    <col min="6409" max="6409" width="7.42578125" customWidth="1" style="7"/>
    <col min="6410" max="6410" width="6" customWidth="1" style="7"/>
    <col min="6411" max="6413" hidden="1" width="0" customWidth="1" style="7"/>
    <col min="6414" max="6414" width="9.28515625" customWidth="1" style="7"/>
    <col min="6415" max="6415" width="9.7109375" customWidth="1" style="7"/>
    <col min="6416" max="6416" width="14.85546875" customWidth="1" style="7"/>
    <col min="6417" max="6655" width="8.5703125" customWidth="1" style="7"/>
    <col min="6656" max="6656" width="5.28515625" customWidth="1" style="7"/>
    <col min="6657" max="6657" width="26" customWidth="1" style="7"/>
    <col min="6658" max="6658" width="7.7109375" customWidth="1" style="7"/>
    <col min="6659" max="6659" width="20.7109375" customWidth="1" style="7"/>
    <col min="6660" max="6660" width="17" customWidth="1" style="7"/>
    <col min="6661" max="6661" width="11.5703125" customWidth="1" style="7"/>
    <col min="6662" max="6662" width="8.85546875" customWidth="1" style="7"/>
    <col min="6663" max="6663" width="9.5703125" customWidth="1" style="7"/>
    <col min="6664" max="6664" width="6.28515625" customWidth="1" style="7"/>
    <col min="6665" max="6665" width="7.42578125" customWidth="1" style="7"/>
    <col min="6666" max="6666" width="6" customWidth="1" style="7"/>
    <col min="6667" max="6669" hidden="1" width="0" customWidth="1" style="7"/>
    <col min="6670" max="6670" width="9.28515625" customWidth="1" style="7"/>
    <col min="6671" max="6671" width="9.7109375" customWidth="1" style="7"/>
    <col min="6672" max="6672" width="14.85546875" customWidth="1" style="7"/>
    <col min="6673" max="6911" width="8.5703125" customWidth="1" style="7"/>
    <col min="6912" max="6912" width="5.28515625" customWidth="1" style="7"/>
    <col min="6913" max="6913" width="26" customWidth="1" style="7"/>
    <col min="6914" max="6914" width="7.7109375" customWidth="1" style="7"/>
    <col min="6915" max="6915" width="20.7109375" customWidth="1" style="7"/>
    <col min="6916" max="6916" width="17" customWidth="1" style="7"/>
    <col min="6917" max="6917" width="11.5703125" customWidth="1" style="7"/>
    <col min="6918" max="6918" width="8.85546875" customWidth="1" style="7"/>
    <col min="6919" max="6919" width="9.5703125" customWidth="1" style="7"/>
    <col min="6920" max="6920" width="6.28515625" customWidth="1" style="7"/>
    <col min="6921" max="6921" width="7.42578125" customWidth="1" style="7"/>
    <col min="6922" max="6922" width="6" customWidth="1" style="7"/>
    <col min="6923" max="6925" hidden="1" width="0" customWidth="1" style="7"/>
    <col min="6926" max="6926" width="9.28515625" customWidth="1" style="7"/>
    <col min="6927" max="6927" width="9.7109375" customWidth="1" style="7"/>
    <col min="6928" max="6928" width="14.85546875" customWidth="1" style="7"/>
    <col min="6929" max="7167" width="8.5703125" customWidth="1" style="7"/>
    <col min="7168" max="7168" width="5.28515625" customWidth="1" style="7"/>
    <col min="7169" max="7169" width="26" customWidth="1" style="7"/>
    <col min="7170" max="7170" width="7.7109375" customWidth="1" style="7"/>
    <col min="7171" max="7171" width="20.7109375" customWidth="1" style="7"/>
    <col min="7172" max="7172" width="17" customWidth="1" style="7"/>
    <col min="7173" max="7173" width="11.5703125" customWidth="1" style="7"/>
    <col min="7174" max="7174" width="8.85546875" customWidth="1" style="7"/>
    <col min="7175" max="7175" width="9.5703125" customWidth="1" style="7"/>
    <col min="7176" max="7176" width="6.28515625" customWidth="1" style="7"/>
    <col min="7177" max="7177" width="7.42578125" customWidth="1" style="7"/>
    <col min="7178" max="7178" width="6" customWidth="1" style="7"/>
    <col min="7179" max="7181" hidden="1" width="0" customWidth="1" style="7"/>
    <col min="7182" max="7182" width="9.28515625" customWidth="1" style="7"/>
    <col min="7183" max="7183" width="9.7109375" customWidth="1" style="7"/>
    <col min="7184" max="7184" width="14.85546875" customWidth="1" style="7"/>
    <col min="7185" max="7423" width="8.5703125" customWidth="1" style="7"/>
    <col min="7424" max="7424" width="5.28515625" customWidth="1" style="7"/>
    <col min="7425" max="7425" width="26" customWidth="1" style="7"/>
    <col min="7426" max="7426" width="7.7109375" customWidth="1" style="7"/>
    <col min="7427" max="7427" width="20.7109375" customWidth="1" style="7"/>
    <col min="7428" max="7428" width="17" customWidth="1" style="7"/>
    <col min="7429" max="7429" width="11.5703125" customWidth="1" style="7"/>
    <col min="7430" max="7430" width="8.85546875" customWidth="1" style="7"/>
    <col min="7431" max="7431" width="9.5703125" customWidth="1" style="7"/>
    <col min="7432" max="7432" width="6.28515625" customWidth="1" style="7"/>
    <col min="7433" max="7433" width="7.42578125" customWidth="1" style="7"/>
    <col min="7434" max="7434" width="6" customWidth="1" style="7"/>
    <col min="7435" max="7437" hidden="1" width="0" customWidth="1" style="7"/>
    <col min="7438" max="7438" width="9.28515625" customWidth="1" style="7"/>
    <col min="7439" max="7439" width="9.7109375" customWidth="1" style="7"/>
    <col min="7440" max="7440" width="14.85546875" customWidth="1" style="7"/>
    <col min="7441" max="7679" width="8.5703125" customWidth="1" style="7"/>
    <col min="7680" max="7680" width="5.28515625" customWidth="1" style="7"/>
    <col min="7681" max="7681" width="26" customWidth="1" style="7"/>
    <col min="7682" max="7682" width="7.7109375" customWidth="1" style="7"/>
    <col min="7683" max="7683" width="20.7109375" customWidth="1" style="7"/>
    <col min="7684" max="7684" width="17" customWidth="1" style="7"/>
    <col min="7685" max="7685" width="11.5703125" customWidth="1" style="7"/>
    <col min="7686" max="7686" width="8.85546875" customWidth="1" style="7"/>
    <col min="7687" max="7687" width="9.5703125" customWidth="1" style="7"/>
    <col min="7688" max="7688" width="6.28515625" customWidth="1" style="7"/>
    <col min="7689" max="7689" width="7.42578125" customWidth="1" style="7"/>
    <col min="7690" max="7690" width="6" customWidth="1" style="7"/>
    <col min="7691" max="7693" hidden="1" width="0" customWidth="1" style="7"/>
    <col min="7694" max="7694" width="9.28515625" customWidth="1" style="7"/>
    <col min="7695" max="7695" width="9.7109375" customWidth="1" style="7"/>
    <col min="7696" max="7696" width="14.85546875" customWidth="1" style="7"/>
    <col min="7697" max="7935" width="8.5703125" customWidth="1" style="7"/>
    <col min="7936" max="7936" width="5.28515625" customWidth="1" style="7"/>
    <col min="7937" max="7937" width="26" customWidth="1" style="7"/>
    <col min="7938" max="7938" width="7.7109375" customWidth="1" style="7"/>
    <col min="7939" max="7939" width="20.7109375" customWidth="1" style="7"/>
    <col min="7940" max="7940" width="17" customWidth="1" style="7"/>
    <col min="7941" max="7941" width="11.5703125" customWidth="1" style="7"/>
    <col min="7942" max="7942" width="8.85546875" customWidth="1" style="7"/>
    <col min="7943" max="7943" width="9.5703125" customWidth="1" style="7"/>
    <col min="7944" max="7944" width="6.28515625" customWidth="1" style="7"/>
    <col min="7945" max="7945" width="7.42578125" customWidth="1" style="7"/>
    <col min="7946" max="7946" width="6" customWidth="1" style="7"/>
    <col min="7947" max="7949" hidden="1" width="0" customWidth="1" style="7"/>
    <col min="7950" max="7950" width="9.28515625" customWidth="1" style="7"/>
    <col min="7951" max="7951" width="9.7109375" customWidth="1" style="7"/>
    <col min="7952" max="7952" width="14.85546875" customWidth="1" style="7"/>
    <col min="7953" max="8191" width="8.5703125" customWidth="1" style="7"/>
    <col min="8192" max="8192" width="5.28515625" customWidth="1" style="7"/>
    <col min="8193" max="8193" width="26" customWidth="1" style="7"/>
    <col min="8194" max="8194" width="7.7109375" customWidth="1" style="7"/>
    <col min="8195" max="8195" width="20.7109375" customWidth="1" style="7"/>
    <col min="8196" max="8196" width="17" customWidth="1" style="7"/>
    <col min="8197" max="8197" width="11.5703125" customWidth="1" style="7"/>
    <col min="8198" max="8198" width="8.85546875" customWidth="1" style="7"/>
    <col min="8199" max="8199" width="9.5703125" customWidth="1" style="7"/>
    <col min="8200" max="8200" width="6.28515625" customWidth="1" style="7"/>
    <col min="8201" max="8201" width="7.42578125" customWidth="1" style="7"/>
    <col min="8202" max="8202" width="6" customWidth="1" style="7"/>
    <col min="8203" max="8205" hidden="1" width="0" customWidth="1" style="7"/>
    <col min="8206" max="8206" width="9.28515625" customWidth="1" style="7"/>
    <col min="8207" max="8207" width="9.7109375" customWidth="1" style="7"/>
    <col min="8208" max="8208" width="14.85546875" customWidth="1" style="7"/>
    <col min="8209" max="8447" width="8.5703125" customWidth="1" style="7"/>
    <col min="8448" max="8448" width="5.28515625" customWidth="1" style="7"/>
    <col min="8449" max="8449" width="26" customWidth="1" style="7"/>
    <col min="8450" max="8450" width="7.7109375" customWidth="1" style="7"/>
    <col min="8451" max="8451" width="20.7109375" customWidth="1" style="7"/>
    <col min="8452" max="8452" width="17" customWidth="1" style="7"/>
    <col min="8453" max="8453" width="11.5703125" customWidth="1" style="7"/>
    <col min="8454" max="8454" width="8.85546875" customWidth="1" style="7"/>
    <col min="8455" max="8455" width="9.5703125" customWidth="1" style="7"/>
    <col min="8456" max="8456" width="6.28515625" customWidth="1" style="7"/>
    <col min="8457" max="8457" width="7.42578125" customWidth="1" style="7"/>
    <col min="8458" max="8458" width="6" customWidth="1" style="7"/>
    <col min="8459" max="8461" hidden="1" width="0" customWidth="1" style="7"/>
    <col min="8462" max="8462" width="9.28515625" customWidth="1" style="7"/>
    <col min="8463" max="8463" width="9.7109375" customWidth="1" style="7"/>
    <col min="8464" max="8464" width="14.85546875" customWidth="1" style="7"/>
    <col min="8465" max="8703" width="8.5703125" customWidth="1" style="7"/>
    <col min="8704" max="8704" width="5.28515625" customWidth="1" style="7"/>
    <col min="8705" max="8705" width="26" customWidth="1" style="7"/>
    <col min="8706" max="8706" width="7.7109375" customWidth="1" style="7"/>
    <col min="8707" max="8707" width="20.7109375" customWidth="1" style="7"/>
    <col min="8708" max="8708" width="17" customWidth="1" style="7"/>
    <col min="8709" max="8709" width="11.5703125" customWidth="1" style="7"/>
    <col min="8710" max="8710" width="8.85546875" customWidth="1" style="7"/>
    <col min="8711" max="8711" width="9.5703125" customWidth="1" style="7"/>
    <col min="8712" max="8712" width="6.28515625" customWidth="1" style="7"/>
    <col min="8713" max="8713" width="7.42578125" customWidth="1" style="7"/>
    <col min="8714" max="8714" width="6" customWidth="1" style="7"/>
    <col min="8715" max="8717" hidden="1" width="0" customWidth="1" style="7"/>
    <col min="8718" max="8718" width="9.28515625" customWidth="1" style="7"/>
    <col min="8719" max="8719" width="9.7109375" customWidth="1" style="7"/>
    <col min="8720" max="8720" width="14.85546875" customWidth="1" style="7"/>
    <col min="8721" max="8959" width="8.5703125" customWidth="1" style="7"/>
    <col min="8960" max="8960" width="5.28515625" customWidth="1" style="7"/>
    <col min="8961" max="8961" width="26" customWidth="1" style="7"/>
    <col min="8962" max="8962" width="7.7109375" customWidth="1" style="7"/>
    <col min="8963" max="8963" width="20.7109375" customWidth="1" style="7"/>
    <col min="8964" max="8964" width="17" customWidth="1" style="7"/>
    <col min="8965" max="8965" width="11.5703125" customWidth="1" style="7"/>
    <col min="8966" max="8966" width="8.85546875" customWidth="1" style="7"/>
    <col min="8967" max="8967" width="9.5703125" customWidth="1" style="7"/>
    <col min="8968" max="8968" width="6.28515625" customWidth="1" style="7"/>
    <col min="8969" max="8969" width="7.42578125" customWidth="1" style="7"/>
    <col min="8970" max="8970" width="6" customWidth="1" style="7"/>
    <col min="8971" max="8973" hidden="1" width="0" customWidth="1" style="7"/>
    <col min="8974" max="8974" width="9.28515625" customWidth="1" style="7"/>
    <col min="8975" max="8975" width="9.7109375" customWidth="1" style="7"/>
    <col min="8976" max="8976" width="14.85546875" customWidth="1" style="7"/>
    <col min="8977" max="9215" width="8.5703125" customWidth="1" style="7"/>
    <col min="9216" max="9216" width="5.28515625" customWidth="1" style="7"/>
    <col min="9217" max="9217" width="26" customWidth="1" style="7"/>
    <col min="9218" max="9218" width="7.7109375" customWidth="1" style="7"/>
    <col min="9219" max="9219" width="20.7109375" customWidth="1" style="7"/>
    <col min="9220" max="9220" width="17" customWidth="1" style="7"/>
    <col min="9221" max="9221" width="11.5703125" customWidth="1" style="7"/>
    <col min="9222" max="9222" width="8.85546875" customWidth="1" style="7"/>
    <col min="9223" max="9223" width="9.5703125" customWidth="1" style="7"/>
    <col min="9224" max="9224" width="6.28515625" customWidth="1" style="7"/>
    <col min="9225" max="9225" width="7.42578125" customWidth="1" style="7"/>
    <col min="9226" max="9226" width="6" customWidth="1" style="7"/>
    <col min="9227" max="9229" hidden="1" width="0" customWidth="1" style="7"/>
    <col min="9230" max="9230" width="9.28515625" customWidth="1" style="7"/>
    <col min="9231" max="9231" width="9.7109375" customWidth="1" style="7"/>
    <col min="9232" max="9232" width="14.85546875" customWidth="1" style="7"/>
    <col min="9233" max="9471" width="8.5703125" customWidth="1" style="7"/>
    <col min="9472" max="9472" width="5.28515625" customWidth="1" style="7"/>
    <col min="9473" max="9473" width="26" customWidth="1" style="7"/>
    <col min="9474" max="9474" width="7.7109375" customWidth="1" style="7"/>
    <col min="9475" max="9475" width="20.7109375" customWidth="1" style="7"/>
    <col min="9476" max="9476" width="17" customWidth="1" style="7"/>
    <col min="9477" max="9477" width="11.5703125" customWidth="1" style="7"/>
    <col min="9478" max="9478" width="8.85546875" customWidth="1" style="7"/>
    <col min="9479" max="9479" width="9.5703125" customWidth="1" style="7"/>
    <col min="9480" max="9480" width="6.28515625" customWidth="1" style="7"/>
    <col min="9481" max="9481" width="7.42578125" customWidth="1" style="7"/>
    <col min="9482" max="9482" width="6" customWidth="1" style="7"/>
    <col min="9483" max="9485" hidden="1" width="0" customWidth="1" style="7"/>
    <col min="9486" max="9486" width="9.28515625" customWidth="1" style="7"/>
    <col min="9487" max="9487" width="9.7109375" customWidth="1" style="7"/>
    <col min="9488" max="9488" width="14.85546875" customWidth="1" style="7"/>
    <col min="9489" max="9727" width="8.5703125" customWidth="1" style="7"/>
    <col min="9728" max="9728" width="5.28515625" customWidth="1" style="7"/>
    <col min="9729" max="9729" width="26" customWidth="1" style="7"/>
    <col min="9730" max="9730" width="7.7109375" customWidth="1" style="7"/>
    <col min="9731" max="9731" width="20.7109375" customWidth="1" style="7"/>
    <col min="9732" max="9732" width="17" customWidth="1" style="7"/>
    <col min="9733" max="9733" width="11.5703125" customWidth="1" style="7"/>
    <col min="9734" max="9734" width="8.85546875" customWidth="1" style="7"/>
    <col min="9735" max="9735" width="9.5703125" customWidth="1" style="7"/>
    <col min="9736" max="9736" width="6.28515625" customWidth="1" style="7"/>
    <col min="9737" max="9737" width="7.42578125" customWidth="1" style="7"/>
    <col min="9738" max="9738" width="6" customWidth="1" style="7"/>
    <col min="9739" max="9741" hidden="1" width="0" customWidth="1" style="7"/>
    <col min="9742" max="9742" width="9.28515625" customWidth="1" style="7"/>
    <col min="9743" max="9743" width="9.7109375" customWidth="1" style="7"/>
    <col min="9744" max="9744" width="14.85546875" customWidth="1" style="7"/>
    <col min="9745" max="9983" width="8.5703125" customWidth="1" style="7"/>
    <col min="9984" max="9984" width="5.28515625" customWidth="1" style="7"/>
    <col min="9985" max="9985" width="26" customWidth="1" style="7"/>
    <col min="9986" max="9986" width="7.7109375" customWidth="1" style="7"/>
    <col min="9987" max="9987" width="20.7109375" customWidth="1" style="7"/>
    <col min="9988" max="9988" width="17" customWidth="1" style="7"/>
    <col min="9989" max="9989" width="11.5703125" customWidth="1" style="7"/>
    <col min="9990" max="9990" width="8.85546875" customWidth="1" style="7"/>
    <col min="9991" max="9991" width="9.5703125" customWidth="1" style="7"/>
    <col min="9992" max="9992" width="6.28515625" customWidth="1" style="7"/>
    <col min="9993" max="9993" width="7.42578125" customWidth="1" style="7"/>
    <col min="9994" max="9994" width="6" customWidth="1" style="7"/>
    <col min="9995" max="9997" hidden="1" width="0" customWidth="1" style="7"/>
    <col min="9998" max="9998" width="9.28515625" customWidth="1" style="7"/>
    <col min="9999" max="9999" width="9.7109375" customWidth="1" style="7"/>
    <col min="10000" max="10000" width="14.85546875" customWidth="1" style="7"/>
    <col min="10001" max="10239" width="8.5703125" customWidth="1" style="7"/>
    <col min="10240" max="10240" width="5.28515625" customWidth="1" style="7"/>
    <col min="10241" max="10241" width="26" customWidth="1" style="7"/>
    <col min="10242" max="10242" width="7.7109375" customWidth="1" style="7"/>
    <col min="10243" max="10243" width="20.7109375" customWidth="1" style="7"/>
    <col min="10244" max="10244" width="17" customWidth="1" style="7"/>
    <col min="10245" max="10245" width="11.5703125" customWidth="1" style="7"/>
    <col min="10246" max="10246" width="8.85546875" customWidth="1" style="7"/>
    <col min="10247" max="10247" width="9.5703125" customWidth="1" style="7"/>
    <col min="10248" max="10248" width="6.28515625" customWidth="1" style="7"/>
    <col min="10249" max="10249" width="7.42578125" customWidth="1" style="7"/>
    <col min="10250" max="10250" width="6" customWidth="1" style="7"/>
    <col min="10251" max="10253" hidden="1" width="0" customWidth="1" style="7"/>
    <col min="10254" max="10254" width="9.28515625" customWidth="1" style="7"/>
    <col min="10255" max="10255" width="9.7109375" customWidth="1" style="7"/>
    <col min="10256" max="10256" width="14.85546875" customWidth="1" style="7"/>
    <col min="10257" max="10495" width="8.5703125" customWidth="1" style="7"/>
    <col min="10496" max="10496" width="5.28515625" customWidth="1" style="7"/>
    <col min="10497" max="10497" width="26" customWidth="1" style="7"/>
    <col min="10498" max="10498" width="7.7109375" customWidth="1" style="7"/>
    <col min="10499" max="10499" width="20.7109375" customWidth="1" style="7"/>
    <col min="10500" max="10500" width="17" customWidth="1" style="7"/>
    <col min="10501" max="10501" width="11.5703125" customWidth="1" style="7"/>
    <col min="10502" max="10502" width="8.85546875" customWidth="1" style="7"/>
    <col min="10503" max="10503" width="9.5703125" customWidth="1" style="7"/>
    <col min="10504" max="10504" width="6.28515625" customWidth="1" style="7"/>
    <col min="10505" max="10505" width="7.42578125" customWidth="1" style="7"/>
    <col min="10506" max="10506" width="6" customWidth="1" style="7"/>
    <col min="10507" max="10509" hidden="1" width="0" customWidth="1" style="7"/>
    <col min="10510" max="10510" width="9.28515625" customWidth="1" style="7"/>
    <col min="10511" max="10511" width="9.7109375" customWidth="1" style="7"/>
    <col min="10512" max="10512" width="14.85546875" customWidth="1" style="7"/>
    <col min="10513" max="10751" width="8.5703125" customWidth="1" style="7"/>
    <col min="10752" max="10752" width="5.28515625" customWidth="1" style="7"/>
    <col min="10753" max="10753" width="26" customWidth="1" style="7"/>
    <col min="10754" max="10754" width="7.7109375" customWidth="1" style="7"/>
    <col min="10755" max="10755" width="20.7109375" customWidth="1" style="7"/>
    <col min="10756" max="10756" width="17" customWidth="1" style="7"/>
    <col min="10757" max="10757" width="11.5703125" customWidth="1" style="7"/>
    <col min="10758" max="10758" width="8.85546875" customWidth="1" style="7"/>
    <col min="10759" max="10759" width="9.5703125" customWidth="1" style="7"/>
    <col min="10760" max="10760" width="6.28515625" customWidth="1" style="7"/>
    <col min="10761" max="10761" width="7.42578125" customWidth="1" style="7"/>
    <col min="10762" max="10762" width="6" customWidth="1" style="7"/>
    <col min="10763" max="10765" hidden="1" width="0" customWidth="1" style="7"/>
    <col min="10766" max="10766" width="9.28515625" customWidth="1" style="7"/>
    <col min="10767" max="10767" width="9.7109375" customWidth="1" style="7"/>
    <col min="10768" max="10768" width="14.85546875" customWidth="1" style="7"/>
    <col min="10769" max="11007" width="8.5703125" customWidth="1" style="7"/>
    <col min="11008" max="11008" width="5.28515625" customWidth="1" style="7"/>
    <col min="11009" max="11009" width="26" customWidth="1" style="7"/>
    <col min="11010" max="11010" width="7.7109375" customWidth="1" style="7"/>
    <col min="11011" max="11011" width="20.7109375" customWidth="1" style="7"/>
    <col min="11012" max="11012" width="17" customWidth="1" style="7"/>
    <col min="11013" max="11013" width="11.5703125" customWidth="1" style="7"/>
    <col min="11014" max="11014" width="8.85546875" customWidth="1" style="7"/>
    <col min="11015" max="11015" width="9.5703125" customWidth="1" style="7"/>
    <col min="11016" max="11016" width="6.28515625" customWidth="1" style="7"/>
    <col min="11017" max="11017" width="7.42578125" customWidth="1" style="7"/>
    <col min="11018" max="11018" width="6" customWidth="1" style="7"/>
    <col min="11019" max="11021" hidden="1" width="0" customWidth="1" style="7"/>
    <col min="11022" max="11022" width="9.28515625" customWidth="1" style="7"/>
    <col min="11023" max="11023" width="9.7109375" customWidth="1" style="7"/>
    <col min="11024" max="11024" width="14.85546875" customWidth="1" style="7"/>
    <col min="11025" max="11263" width="8.5703125" customWidth="1" style="7"/>
    <col min="11264" max="11264" width="5.28515625" customWidth="1" style="7"/>
    <col min="11265" max="11265" width="26" customWidth="1" style="7"/>
    <col min="11266" max="11266" width="7.7109375" customWidth="1" style="7"/>
    <col min="11267" max="11267" width="20.7109375" customWidth="1" style="7"/>
    <col min="11268" max="11268" width="17" customWidth="1" style="7"/>
    <col min="11269" max="11269" width="11.5703125" customWidth="1" style="7"/>
    <col min="11270" max="11270" width="8.85546875" customWidth="1" style="7"/>
    <col min="11271" max="11271" width="9.5703125" customWidth="1" style="7"/>
    <col min="11272" max="11272" width="6.28515625" customWidth="1" style="7"/>
    <col min="11273" max="11273" width="7.42578125" customWidth="1" style="7"/>
    <col min="11274" max="11274" width="6" customWidth="1" style="7"/>
    <col min="11275" max="11277" hidden="1" width="0" customWidth="1" style="7"/>
    <col min="11278" max="11278" width="9.28515625" customWidth="1" style="7"/>
    <col min="11279" max="11279" width="9.7109375" customWidth="1" style="7"/>
    <col min="11280" max="11280" width="14.85546875" customWidth="1" style="7"/>
    <col min="11281" max="11519" width="8.5703125" customWidth="1" style="7"/>
    <col min="11520" max="11520" width="5.28515625" customWidth="1" style="7"/>
    <col min="11521" max="11521" width="26" customWidth="1" style="7"/>
    <col min="11522" max="11522" width="7.7109375" customWidth="1" style="7"/>
    <col min="11523" max="11523" width="20.7109375" customWidth="1" style="7"/>
    <col min="11524" max="11524" width="17" customWidth="1" style="7"/>
    <col min="11525" max="11525" width="11.5703125" customWidth="1" style="7"/>
    <col min="11526" max="11526" width="8.85546875" customWidth="1" style="7"/>
    <col min="11527" max="11527" width="9.5703125" customWidth="1" style="7"/>
    <col min="11528" max="11528" width="6.28515625" customWidth="1" style="7"/>
    <col min="11529" max="11529" width="7.42578125" customWidth="1" style="7"/>
    <col min="11530" max="11530" width="6" customWidth="1" style="7"/>
    <col min="11531" max="11533" hidden="1" width="0" customWidth="1" style="7"/>
    <col min="11534" max="11534" width="9.28515625" customWidth="1" style="7"/>
    <col min="11535" max="11535" width="9.7109375" customWidth="1" style="7"/>
    <col min="11536" max="11536" width="14.85546875" customWidth="1" style="7"/>
    <col min="11537" max="11775" width="8.5703125" customWidth="1" style="7"/>
    <col min="11776" max="11776" width="5.28515625" customWidth="1" style="7"/>
    <col min="11777" max="11777" width="26" customWidth="1" style="7"/>
    <col min="11778" max="11778" width="7.7109375" customWidth="1" style="7"/>
    <col min="11779" max="11779" width="20.7109375" customWidth="1" style="7"/>
    <col min="11780" max="11780" width="17" customWidth="1" style="7"/>
    <col min="11781" max="11781" width="11.5703125" customWidth="1" style="7"/>
    <col min="11782" max="11782" width="8.85546875" customWidth="1" style="7"/>
    <col min="11783" max="11783" width="9.5703125" customWidth="1" style="7"/>
    <col min="11784" max="11784" width="6.28515625" customWidth="1" style="7"/>
    <col min="11785" max="11785" width="7.42578125" customWidth="1" style="7"/>
    <col min="11786" max="11786" width="6" customWidth="1" style="7"/>
    <col min="11787" max="11789" hidden="1" width="0" customWidth="1" style="7"/>
    <col min="11790" max="11790" width="9.28515625" customWidth="1" style="7"/>
    <col min="11791" max="11791" width="9.7109375" customWidth="1" style="7"/>
    <col min="11792" max="11792" width="14.85546875" customWidth="1" style="7"/>
    <col min="11793" max="12031" width="8.5703125" customWidth="1" style="7"/>
    <col min="12032" max="12032" width="5.28515625" customWidth="1" style="7"/>
    <col min="12033" max="12033" width="26" customWidth="1" style="7"/>
    <col min="12034" max="12034" width="7.7109375" customWidth="1" style="7"/>
    <col min="12035" max="12035" width="20.7109375" customWidth="1" style="7"/>
    <col min="12036" max="12036" width="17" customWidth="1" style="7"/>
    <col min="12037" max="12037" width="11.5703125" customWidth="1" style="7"/>
    <col min="12038" max="12038" width="8.85546875" customWidth="1" style="7"/>
    <col min="12039" max="12039" width="9.5703125" customWidth="1" style="7"/>
    <col min="12040" max="12040" width="6.28515625" customWidth="1" style="7"/>
    <col min="12041" max="12041" width="7.42578125" customWidth="1" style="7"/>
    <col min="12042" max="12042" width="6" customWidth="1" style="7"/>
    <col min="12043" max="12045" hidden="1" width="0" customWidth="1" style="7"/>
    <col min="12046" max="12046" width="9.28515625" customWidth="1" style="7"/>
    <col min="12047" max="12047" width="9.7109375" customWidth="1" style="7"/>
    <col min="12048" max="12048" width="14.85546875" customWidth="1" style="7"/>
    <col min="12049" max="12287" width="8.5703125" customWidth="1" style="7"/>
    <col min="12288" max="12288" width="5.28515625" customWidth="1" style="7"/>
    <col min="12289" max="12289" width="26" customWidth="1" style="7"/>
    <col min="12290" max="12290" width="7.7109375" customWidth="1" style="7"/>
    <col min="12291" max="12291" width="20.7109375" customWidth="1" style="7"/>
    <col min="12292" max="12292" width="17" customWidth="1" style="7"/>
    <col min="12293" max="12293" width="11.5703125" customWidth="1" style="7"/>
    <col min="12294" max="12294" width="8.85546875" customWidth="1" style="7"/>
    <col min="12295" max="12295" width="9.5703125" customWidth="1" style="7"/>
    <col min="12296" max="12296" width="6.28515625" customWidth="1" style="7"/>
    <col min="12297" max="12297" width="7.42578125" customWidth="1" style="7"/>
    <col min="12298" max="12298" width="6" customWidth="1" style="7"/>
    <col min="12299" max="12301" hidden="1" width="0" customWidth="1" style="7"/>
    <col min="12302" max="12302" width="9.28515625" customWidth="1" style="7"/>
    <col min="12303" max="12303" width="9.7109375" customWidth="1" style="7"/>
    <col min="12304" max="12304" width="14.85546875" customWidth="1" style="7"/>
    <col min="12305" max="12543" width="8.5703125" customWidth="1" style="7"/>
    <col min="12544" max="12544" width="5.28515625" customWidth="1" style="7"/>
    <col min="12545" max="12545" width="26" customWidth="1" style="7"/>
    <col min="12546" max="12546" width="7.7109375" customWidth="1" style="7"/>
    <col min="12547" max="12547" width="20.7109375" customWidth="1" style="7"/>
    <col min="12548" max="12548" width="17" customWidth="1" style="7"/>
    <col min="12549" max="12549" width="11.5703125" customWidth="1" style="7"/>
    <col min="12550" max="12550" width="8.85546875" customWidth="1" style="7"/>
    <col min="12551" max="12551" width="9.5703125" customWidth="1" style="7"/>
    <col min="12552" max="12552" width="6.28515625" customWidth="1" style="7"/>
    <col min="12553" max="12553" width="7.42578125" customWidth="1" style="7"/>
    <col min="12554" max="12554" width="6" customWidth="1" style="7"/>
    <col min="12555" max="12557" hidden="1" width="0" customWidth="1" style="7"/>
    <col min="12558" max="12558" width="9.28515625" customWidth="1" style="7"/>
    <col min="12559" max="12559" width="9.7109375" customWidth="1" style="7"/>
    <col min="12560" max="12560" width="14.85546875" customWidth="1" style="7"/>
    <col min="12561" max="12799" width="8.5703125" customWidth="1" style="7"/>
    <col min="12800" max="12800" width="5.28515625" customWidth="1" style="7"/>
    <col min="12801" max="12801" width="26" customWidth="1" style="7"/>
    <col min="12802" max="12802" width="7.7109375" customWidth="1" style="7"/>
    <col min="12803" max="12803" width="20.7109375" customWidth="1" style="7"/>
    <col min="12804" max="12804" width="17" customWidth="1" style="7"/>
    <col min="12805" max="12805" width="11.5703125" customWidth="1" style="7"/>
    <col min="12806" max="12806" width="8.85546875" customWidth="1" style="7"/>
    <col min="12807" max="12807" width="9.5703125" customWidth="1" style="7"/>
    <col min="12808" max="12808" width="6.28515625" customWidth="1" style="7"/>
    <col min="12809" max="12809" width="7.42578125" customWidth="1" style="7"/>
    <col min="12810" max="12810" width="6" customWidth="1" style="7"/>
    <col min="12811" max="12813" hidden="1" width="0" customWidth="1" style="7"/>
    <col min="12814" max="12814" width="9.28515625" customWidth="1" style="7"/>
    <col min="12815" max="12815" width="9.7109375" customWidth="1" style="7"/>
    <col min="12816" max="12816" width="14.85546875" customWidth="1" style="7"/>
    <col min="12817" max="13055" width="8.5703125" customWidth="1" style="7"/>
    <col min="13056" max="13056" width="5.28515625" customWidth="1" style="7"/>
    <col min="13057" max="13057" width="26" customWidth="1" style="7"/>
    <col min="13058" max="13058" width="7.7109375" customWidth="1" style="7"/>
    <col min="13059" max="13059" width="20.7109375" customWidth="1" style="7"/>
    <col min="13060" max="13060" width="17" customWidth="1" style="7"/>
    <col min="13061" max="13061" width="11.5703125" customWidth="1" style="7"/>
    <col min="13062" max="13062" width="8.85546875" customWidth="1" style="7"/>
    <col min="13063" max="13063" width="9.5703125" customWidth="1" style="7"/>
    <col min="13064" max="13064" width="6.28515625" customWidth="1" style="7"/>
    <col min="13065" max="13065" width="7.42578125" customWidth="1" style="7"/>
    <col min="13066" max="13066" width="6" customWidth="1" style="7"/>
    <col min="13067" max="13069" hidden="1" width="0" customWidth="1" style="7"/>
    <col min="13070" max="13070" width="9.28515625" customWidth="1" style="7"/>
    <col min="13071" max="13071" width="9.7109375" customWidth="1" style="7"/>
    <col min="13072" max="13072" width="14.85546875" customWidth="1" style="7"/>
    <col min="13073" max="13311" width="8.5703125" customWidth="1" style="7"/>
    <col min="13312" max="13312" width="5.28515625" customWidth="1" style="7"/>
    <col min="13313" max="13313" width="26" customWidth="1" style="7"/>
    <col min="13314" max="13314" width="7.7109375" customWidth="1" style="7"/>
    <col min="13315" max="13315" width="20.7109375" customWidth="1" style="7"/>
    <col min="13316" max="13316" width="17" customWidth="1" style="7"/>
    <col min="13317" max="13317" width="11.5703125" customWidth="1" style="7"/>
    <col min="13318" max="13318" width="8.85546875" customWidth="1" style="7"/>
    <col min="13319" max="13319" width="9.5703125" customWidth="1" style="7"/>
    <col min="13320" max="13320" width="6.28515625" customWidth="1" style="7"/>
    <col min="13321" max="13321" width="7.42578125" customWidth="1" style="7"/>
    <col min="13322" max="13322" width="6" customWidth="1" style="7"/>
    <col min="13323" max="13325" hidden="1" width="0" customWidth="1" style="7"/>
    <col min="13326" max="13326" width="9.28515625" customWidth="1" style="7"/>
    <col min="13327" max="13327" width="9.7109375" customWidth="1" style="7"/>
    <col min="13328" max="13328" width="14.85546875" customWidth="1" style="7"/>
    <col min="13329" max="13567" width="8.5703125" customWidth="1" style="7"/>
    <col min="13568" max="13568" width="5.28515625" customWidth="1" style="7"/>
    <col min="13569" max="13569" width="26" customWidth="1" style="7"/>
    <col min="13570" max="13570" width="7.7109375" customWidth="1" style="7"/>
    <col min="13571" max="13571" width="20.7109375" customWidth="1" style="7"/>
    <col min="13572" max="13572" width="17" customWidth="1" style="7"/>
    <col min="13573" max="13573" width="11.5703125" customWidth="1" style="7"/>
    <col min="13574" max="13574" width="8.85546875" customWidth="1" style="7"/>
    <col min="13575" max="13575" width="9.5703125" customWidth="1" style="7"/>
    <col min="13576" max="13576" width="6.28515625" customWidth="1" style="7"/>
    <col min="13577" max="13577" width="7.42578125" customWidth="1" style="7"/>
    <col min="13578" max="13578" width="6" customWidth="1" style="7"/>
    <col min="13579" max="13581" hidden="1" width="0" customWidth="1" style="7"/>
    <col min="13582" max="13582" width="9.28515625" customWidth="1" style="7"/>
    <col min="13583" max="13583" width="9.7109375" customWidth="1" style="7"/>
    <col min="13584" max="13584" width="14.85546875" customWidth="1" style="7"/>
    <col min="13585" max="13823" width="8.5703125" customWidth="1" style="7"/>
    <col min="13824" max="13824" width="5.28515625" customWidth="1" style="7"/>
    <col min="13825" max="13825" width="26" customWidth="1" style="7"/>
    <col min="13826" max="13826" width="7.7109375" customWidth="1" style="7"/>
    <col min="13827" max="13827" width="20.7109375" customWidth="1" style="7"/>
    <col min="13828" max="13828" width="17" customWidth="1" style="7"/>
    <col min="13829" max="13829" width="11.5703125" customWidth="1" style="7"/>
    <col min="13830" max="13830" width="8.85546875" customWidth="1" style="7"/>
    <col min="13831" max="13831" width="9.5703125" customWidth="1" style="7"/>
    <col min="13832" max="13832" width="6.28515625" customWidth="1" style="7"/>
    <col min="13833" max="13833" width="7.42578125" customWidth="1" style="7"/>
    <col min="13834" max="13834" width="6" customWidth="1" style="7"/>
    <col min="13835" max="13837" hidden="1" width="0" customWidth="1" style="7"/>
    <col min="13838" max="13838" width="9.28515625" customWidth="1" style="7"/>
    <col min="13839" max="13839" width="9.7109375" customWidth="1" style="7"/>
    <col min="13840" max="13840" width="14.85546875" customWidth="1" style="7"/>
    <col min="13841" max="14079" width="8.5703125" customWidth="1" style="7"/>
    <col min="14080" max="14080" width="5.28515625" customWidth="1" style="7"/>
    <col min="14081" max="14081" width="26" customWidth="1" style="7"/>
    <col min="14082" max="14082" width="7.7109375" customWidth="1" style="7"/>
    <col min="14083" max="14083" width="20.7109375" customWidth="1" style="7"/>
    <col min="14084" max="14084" width="17" customWidth="1" style="7"/>
    <col min="14085" max="14085" width="11.5703125" customWidth="1" style="7"/>
    <col min="14086" max="14086" width="8.85546875" customWidth="1" style="7"/>
    <col min="14087" max="14087" width="9.5703125" customWidth="1" style="7"/>
    <col min="14088" max="14088" width="6.28515625" customWidth="1" style="7"/>
    <col min="14089" max="14089" width="7.42578125" customWidth="1" style="7"/>
    <col min="14090" max="14090" width="6" customWidth="1" style="7"/>
    <col min="14091" max="14093" hidden="1" width="0" customWidth="1" style="7"/>
    <col min="14094" max="14094" width="9.28515625" customWidth="1" style="7"/>
    <col min="14095" max="14095" width="9.7109375" customWidth="1" style="7"/>
    <col min="14096" max="14096" width="14.85546875" customWidth="1" style="7"/>
    <col min="14097" max="14335" width="8.5703125" customWidth="1" style="7"/>
    <col min="14336" max="14336" width="5.28515625" customWidth="1" style="7"/>
    <col min="14337" max="14337" width="26" customWidth="1" style="7"/>
    <col min="14338" max="14338" width="7.7109375" customWidth="1" style="7"/>
    <col min="14339" max="14339" width="20.7109375" customWidth="1" style="7"/>
    <col min="14340" max="14340" width="17" customWidth="1" style="7"/>
    <col min="14341" max="14341" width="11.5703125" customWidth="1" style="7"/>
    <col min="14342" max="14342" width="8.85546875" customWidth="1" style="7"/>
    <col min="14343" max="14343" width="9.5703125" customWidth="1" style="7"/>
    <col min="14344" max="14344" width="6.28515625" customWidth="1" style="7"/>
    <col min="14345" max="14345" width="7.42578125" customWidth="1" style="7"/>
    <col min="14346" max="14346" width="6" customWidth="1" style="7"/>
    <col min="14347" max="14349" hidden="1" width="0" customWidth="1" style="7"/>
    <col min="14350" max="14350" width="9.28515625" customWidth="1" style="7"/>
    <col min="14351" max="14351" width="9.7109375" customWidth="1" style="7"/>
    <col min="14352" max="14352" width="14.85546875" customWidth="1" style="7"/>
    <col min="14353" max="14591" width="8.5703125" customWidth="1" style="7"/>
    <col min="14592" max="14592" width="5.28515625" customWidth="1" style="7"/>
    <col min="14593" max="14593" width="26" customWidth="1" style="7"/>
    <col min="14594" max="14594" width="7.7109375" customWidth="1" style="7"/>
    <col min="14595" max="14595" width="20.7109375" customWidth="1" style="7"/>
    <col min="14596" max="14596" width="17" customWidth="1" style="7"/>
    <col min="14597" max="14597" width="11.5703125" customWidth="1" style="7"/>
    <col min="14598" max="14598" width="8.85546875" customWidth="1" style="7"/>
    <col min="14599" max="14599" width="9.5703125" customWidth="1" style="7"/>
    <col min="14600" max="14600" width="6.28515625" customWidth="1" style="7"/>
    <col min="14601" max="14601" width="7.42578125" customWidth="1" style="7"/>
    <col min="14602" max="14602" width="6" customWidth="1" style="7"/>
    <col min="14603" max="14605" hidden="1" width="0" customWidth="1" style="7"/>
    <col min="14606" max="14606" width="9.28515625" customWidth="1" style="7"/>
    <col min="14607" max="14607" width="9.7109375" customWidth="1" style="7"/>
    <col min="14608" max="14608" width="14.85546875" customWidth="1" style="7"/>
    <col min="14609" max="14847" width="8.5703125" customWidth="1" style="7"/>
    <col min="14848" max="14848" width="5.28515625" customWidth="1" style="7"/>
    <col min="14849" max="14849" width="26" customWidth="1" style="7"/>
    <col min="14850" max="14850" width="7.7109375" customWidth="1" style="7"/>
    <col min="14851" max="14851" width="20.7109375" customWidth="1" style="7"/>
    <col min="14852" max="14852" width="17" customWidth="1" style="7"/>
    <col min="14853" max="14853" width="11.5703125" customWidth="1" style="7"/>
    <col min="14854" max="14854" width="8.85546875" customWidth="1" style="7"/>
    <col min="14855" max="14855" width="9.5703125" customWidth="1" style="7"/>
    <col min="14856" max="14856" width="6.28515625" customWidth="1" style="7"/>
    <col min="14857" max="14857" width="7.42578125" customWidth="1" style="7"/>
    <col min="14858" max="14858" width="6" customWidth="1" style="7"/>
    <col min="14859" max="14861" hidden="1" width="0" customWidth="1" style="7"/>
    <col min="14862" max="14862" width="9.28515625" customWidth="1" style="7"/>
    <col min="14863" max="14863" width="9.7109375" customWidth="1" style="7"/>
    <col min="14864" max="14864" width="14.85546875" customWidth="1" style="7"/>
    <col min="14865" max="15103" width="8.5703125" customWidth="1" style="7"/>
    <col min="15104" max="15104" width="5.28515625" customWidth="1" style="7"/>
    <col min="15105" max="15105" width="26" customWidth="1" style="7"/>
    <col min="15106" max="15106" width="7.7109375" customWidth="1" style="7"/>
    <col min="15107" max="15107" width="20.7109375" customWidth="1" style="7"/>
    <col min="15108" max="15108" width="17" customWidth="1" style="7"/>
    <col min="15109" max="15109" width="11.5703125" customWidth="1" style="7"/>
    <col min="15110" max="15110" width="8.85546875" customWidth="1" style="7"/>
    <col min="15111" max="15111" width="9.5703125" customWidth="1" style="7"/>
    <col min="15112" max="15112" width="6.28515625" customWidth="1" style="7"/>
    <col min="15113" max="15113" width="7.42578125" customWidth="1" style="7"/>
    <col min="15114" max="15114" width="6" customWidth="1" style="7"/>
    <col min="15115" max="15117" hidden="1" width="0" customWidth="1" style="7"/>
    <col min="15118" max="15118" width="9.28515625" customWidth="1" style="7"/>
    <col min="15119" max="15119" width="9.7109375" customWidth="1" style="7"/>
    <col min="15120" max="15120" width="14.85546875" customWidth="1" style="7"/>
    <col min="15121" max="15359" width="8.5703125" customWidth="1" style="7"/>
    <col min="15360" max="15360" width="5.28515625" customWidth="1" style="7"/>
    <col min="15361" max="15361" width="26" customWidth="1" style="7"/>
    <col min="15362" max="15362" width="7.7109375" customWidth="1" style="7"/>
    <col min="15363" max="15363" width="20.7109375" customWidth="1" style="7"/>
    <col min="15364" max="15364" width="17" customWidth="1" style="7"/>
    <col min="15365" max="15365" width="11.5703125" customWidth="1" style="7"/>
    <col min="15366" max="15366" width="8.85546875" customWidth="1" style="7"/>
    <col min="15367" max="15367" width="9.5703125" customWidth="1" style="7"/>
    <col min="15368" max="15368" width="6.28515625" customWidth="1" style="7"/>
    <col min="15369" max="15369" width="7.42578125" customWidth="1" style="7"/>
    <col min="15370" max="15370" width="6" customWidth="1" style="7"/>
    <col min="15371" max="15373" hidden="1" width="0" customWidth="1" style="7"/>
    <col min="15374" max="15374" width="9.28515625" customWidth="1" style="7"/>
    <col min="15375" max="15375" width="9.7109375" customWidth="1" style="7"/>
    <col min="15376" max="15376" width="14.85546875" customWidth="1" style="7"/>
    <col min="15377" max="15615" width="8.5703125" customWidth="1" style="7"/>
    <col min="15616" max="15616" width="5.28515625" customWidth="1" style="7"/>
    <col min="15617" max="15617" width="26" customWidth="1" style="7"/>
    <col min="15618" max="15618" width="7.7109375" customWidth="1" style="7"/>
    <col min="15619" max="15619" width="20.7109375" customWidth="1" style="7"/>
    <col min="15620" max="15620" width="17" customWidth="1" style="7"/>
    <col min="15621" max="15621" width="11.5703125" customWidth="1" style="7"/>
    <col min="15622" max="15622" width="8.85546875" customWidth="1" style="7"/>
    <col min="15623" max="15623" width="9.5703125" customWidth="1" style="7"/>
    <col min="15624" max="15624" width="6.28515625" customWidth="1" style="7"/>
    <col min="15625" max="15625" width="7.42578125" customWidth="1" style="7"/>
    <col min="15626" max="15626" width="6" customWidth="1" style="7"/>
    <col min="15627" max="15629" hidden="1" width="0" customWidth="1" style="7"/>
    <col min="15630" max="15630" width="9.28515625" customWidth="1" style="7"/>
    <col min="15631" max="15631" width="9.7109375" customWidth="1" style="7"/>
    <col min="15632" max="15632" width="14.85546875" customWidth="1" style="7"/>
    <col min="15633" max="15871" width="8.5703125" customWidth="1" style="7"/>
    <col min="15872" max="15872" width="5.28515625" customWidth="1" style="7"/>
    <col min="15873" max="15873" width="26" customWidth="1" style="7"/>
    <col min="15874" max="15874" width="7.7109375" customWidth="1" style="7"/>
    <col min="15875" max="15875" width="20.7109375" customWidth="1" style="7"/>
    <col min="15876" max="15876" width="17" customWidth="1" style="7"/>
    <col min="15877" max="15877" width="11.5703125" customWidth="1" style="7"/>
    <col min="15878" max="15878" width="8.85546875" customWidth="1" style="7"/>
    <col min="15879" max="15879" width="9.5703125" customWidth="1" style="7"/>
    <col min="15880" max="15880" width="6.28515625" customWidth="1" style="7"/>
    <col min="15881" max="15881" width="7.42578125" customWidth="1" style="7"/>
    <col min="15882" max="15882" width="6" customWidth="1" style="7"/>
    <col min="15883" max="15885" hidden="1" width="0" customWidth="1" style="7"/>
    <col min="15886" max="15886" width="9.28515625" customWidth="1" style="7"/>
    <col min="15887" max="15887" width="9.7109375" customWidth="1" style="7"/>
    <col min="15888" max="15888" width="14.85546875" customWidth="1" style="7"/>
    <col min="15889" max="16127" width="8.5703125" customWidth="1" style="7"/>
    <col min="16128" max="16128" width="5.28515625" customWidth="1" style="7"/>
    <col min="16129" max="16129" width="26" customWidth="1" style="7"/>
    <col min="16130" max="16130" width="7.7109375" customWidth="1" style="7"/>
    <col min="16131" max="16131" width="20.7109375" customWidth="1" style="7"/>
    <col min="16132" max="16132" width="17" customWidth="1" style="7"/>
    <col min="16133" max="16133" width="11.5703125" customWidth="1" style="7"/>
    <col min="16134" max="16134" width="8.85546875" customWidth="1" style="7"/>
    <col min="16135" max="16135" width="9.5703125" customWidth="1" style="7"/>
    <col min="16136" max="16136" width="6.28515625" customWidth="1" style="7"/>
    <col min="16137" max="16137" width="7.42578125" customWidth="1" style="7"/>
    <col min="16138" max="16138" width="6" customWidth="1" style="7"/>
    <col min="16139" max="16141" hidden="1" width="0" customWidth="1" style="7"/>
    <col min="16142" max="16142" width="9.28515625" customWidth="1" style="7"/>
    <col min="16143" max="16143" width="9.7109375" customWidth="1" style="7"/>
    <col min="16144" max="16144" width="14.85546875" customWidth="1" style="7"/>
    <col min="16145" max="16384" width="8.5703125" customWidth="1" style="7"/>
  </cols>
  <sheetData>
    <row r="1" ht="77.25" customHeight="1" s="53" customFormat="1">
      <c r="A1" s="63" t="s">
        <v>0</v>
      </c>
      <c r="B1" s="63"/>
      <c r="C1" s="63"/>
      <c r="D1" s="52"/>
      <c r="E1" s="52"/>
      <c r="F1" s="52"/>
      <c r="G1" s="52"/>
      <c r="H1" s="54"/>
      <c r="I1" s="54"/>
      <c r="J1" s="54"/>
      <c r="K1" s="64" t="s">
        <v>1</v>
      </c>
      <c r="L1" s="64"/>
      <c r="M1" s="64"/>
      <c r="N1" s="64"/>
      <c r="O1" s="64"/>
    </row>
    <row r="3" ht="38.25" customHeight="1">
      <c r="A3" s="65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ht="15" customHeight="1" s="74" customFormat="1">
      <c r="A4" s="73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ht="48" customHeight="1">
      <c r="A5" s="56" t="s">
        <v>4</v>
      </c>
      <c r="B5" s="56" t="s">
        <v>5</v>
      </c>
      <c r="C5" s="56" t="s">
        <v>6</v>
      </c>
      <c r="D5" s="56" t="s">
        <v>7</v>
      </c>
      <c r="E5" s="56" t="s">
        <v>8</v>
      </c>
      <c r="F5" s="56" t="s">
        <v>9</v>
      </c>
      <c r="G5" s="55" t="s">
        <v>10</v>
      </c>
      <c r="H5" s="55" t="s">
        <v>11</v>
      </c>
      <c r="I5" s="56" t="s">
        <v>12</v>
      </c>
      <c r="J5" s="57" t="s">
        <v>13</v>
      </c>
      <c r="K5" s="58"/>
      <c r="L5" s="58"/>
      <c r="M5" s="58"/>
      <c r="N5" s="59"/>
      <c r="O5" s="66" t="s">
        <v>14</v>
      </c>
      <c r="P5" s="56" t="s">
        <v>15</v>
      </c>
    </row>
    <row r="6" ht="48" customHeight="1">
      <c r="A6" s="56"/>
      <c r="B6" s="56"/>
      <c r="C6" s="56"/>
      <c r="D6" s="56"/>
      <c r="E6" s="56"/>
      <c r="F6" s="56"/>
      <c r="G6" s="55"/>
      <c r="H6" s="55"/>
      <c r="I6" s="56"/>
      <c r="J6" s="26" t="s">
        <v>16</v>
      </c>
      <c r="K6" s="26" t="s">
        <v>17</v>
      </c>
      <c r="L6" s="51" t="s">
        <v>18</v>
      </c>
      <c r="M6" s="28" t="s">
        <v>19</v>
      </c>
      <c r="N6" s="26" t="s">
        <v>20</v>
      </c>
      <c r="O6" s="66"/>
      <c r="P6" s="56"/>
    </row>
    <row r="7" ht="19.5" customHeight="1" s="50" customFormat="1">
      <c r="A7" s="23">
        <v>1</v>
      </c>
      <c r="B7" s="23">
        <v>2</v>
      </c>
      <c r="C7" s="23">
        <v>3</v>
      </c>
      <c r="D7" s="23">
        <v>4</v>
      </c>
      <c r="E7" s="23">
        <v>5</v>
      </c>
      <c r="F7" s="23">
        <v>6</v>
      </c>
      <c r="G7" s="23">
        <v>7</v>
      </c>
      <c r="H7" s="23">
        <v>8</v>
      </c>
      <c r="I7" s="23">
        <v>9</v>
      </c>
      <c r="J7" s="21"/>
      <c r="K7" s="21"/>
      <c r="L7" s="21">
        <v>10</v>
      </c>
      <c r="M7" s="23">
        <v>11</v>
      </c>
      <c r="N7" s="23">
        <v>12</v>
      </c>
      <c r="O7" s="23">
        <v>13</v>
      </c>
      <c r="P7" s="23">
        <v>14</v>
      </c>
    </row>
    <row r="8" ht="31.5" customHeight="1">
      <c r="A8" s="28" t="s">
        <v>21</v>
      </c>
      <c r="B8" s="32" t="s">
        <v>22</v>
      </c>
      <c r="C8" s="32"/>
      <c r="D8" s="23"/>
      <c r="E8" s="23"/>
      <c r="F8" s="23"/>
      <c r="G8" s="26"/>
      <c r="H8" s="26"/>
      <c r="I8" s="26"/>
      <c r="J8" s="49">
        <f>J9+J26</f>
        <v>523680</v>
      </c>
      <c r="K8" s="49">
        <f>K9+K26</f>
        <v>43300</v>
      </c>
      <c r="L8" s="49">
        <f>L9+L26</f>
        <v>488480</v>
      </c>
      <c r="M8" s="49">
        <f>M9+M26</f>
        <v>600000</v>
      </c>
      <c r="N8" s="49">
        <f>N9+N26</f>
        <v>1171980</v>
      </c>
      <c r="O8" s="26"/>
      <c r="P8" s="21"/>
    </row>
    <row r="9" ht="27" customHeight="1">
      <c r="A9" s="28" t="s">
        <v>23</v>
      </c>
      <c r="B9" s="36" t="s">
        <v>24</v>
      </c>
      <c r="C9" s="32"/>
      <c r="D9" s="23"/>
      <c r="E9" s="23"/>
      <c r="F9" s="23"/>
      <c r="G9" s="26"/>
      <c r="H9" s="26"/>
      <c r="I9" s="26"/>
      <c r="J9" s="26">
        <f>SUM(J11:J18)</f>
        <v>0</v>
      </c>
      <c r="K9" s="26">
        <f>SUM(K11:K18)</f>
        <v>0</v>
      </c>
      <c r="L9" s="26">
        <f>SUM(L11:L18)</f>
        <v>0</v>
      </c>
      <c r="M9" s="26">
        <f>SUM(M11:M18)</f>
        <v>0</v>
      </c>
      <c r="N9" s="26">
        <f>SUM(N11:N18)</f>
        <v>0</v>
      </c>
      <c r="O9" s="26"/>
      <c r="P9" s="21"/>
    </row>
    <row r="10" ht="37.5" customHeight="1">
      <c r="A10" s="23">
        <v>1</v>
      </c>
      <c r="B10" s="31" t="s">
        <v>25</v>
      </c>
      <c r="C10" s="23" t="s">
        <v>26</v>
      </c>
      <c r="D10" s="32"/>
      <c r="E10" s="60" t="s">
        <v>27</v>
      </c>
      <c r="F10" s="32"/>
      <c r="G10" s="32"/>
      <c r="H10" s="32"/>
      <c r="I10" s="22"/>
      <c r="J10" s="21"/>
      <c r="K10" s="21"/>
      <c r="L10" s="21"/>
      <c r="M10" s="22"/>
      <c r="N10" s="27"/>
      <c r="O10" s="60" t="s">
        <v>27</v>
      </c>
      <c r="P10" s="46"/>
    </row>
    <row r="11" ht="37.5" customHeight="1">
      <c r="A11" s="23">
        <v>2</v>
      </c>
      <c r="B11" s="31" t="s">
        <v>28</v>
      </c>
      <c r="C11" s="23" t="s">
        <v>29</v>
      </c>
      <c r="D11" s="33"/>
      <c r="E11" s="61"/>
      <c r="F11" s="33"/>
      <c r="G11" s="33"/>
      <c r="H11" s="32"/>
      <c r="I11" s="23"/>
      <c r="J11" s="21"/>
      <c r="K11" s="21"/>
      <c r="L11" s="21"/>
      <c r="M11" s="23"/>
      <c r="N11" s="47"/>
      <c r="O11" s="61"/>
      <c r="P11" s="48"/>
    </row>
    <row r="12" ht="37.5" customHeight="1">
      <c r="A12" s="23">
        <v>3</v>
      </c>
      <c r="B12" s="24" t="s">
        <v>30</v>
      </c>
      <c r="C12" s="23" t="s">
        <v>29</v>
      </c>
      <c r="D12" s="32"/>
      <c r="E12" s="61"/>
      <c r="F12" s="32"/>
      <c r="G12" s="32"/>
      <c r="H12" s="32"/>
      <c r="I12" s="22"/>
      <c r="J12" s="21"/>
      <c r="K12" s="21"/>
      <c r="L12" s="21"/>
      <c r="M12" s="22"/>
      <c r="N12" s="47"/>
      <c r="O12" s="61"/>
      <c r="P12" s="46"/>
    </row>
    <row r="13" ht="37.5" customHeight="1">
      <c r="A13" s="23">
        <v>4</v>
      </c>
      <c r="B13" s="24" t="s">
        <v>31</v>
      </c>
      <c r="C13" s="23" t="s">
        <v>29</v>
      </c>
      <c r="D13" s="32"/>
      <c r="E13" s="61"/>
      <c r="F13" s="32"/>
      <c r="G13" s="32"/>
      <c r="H13" s="32"/>
      <c r="I13" s="22"/>
      <c r="J13" s="21"/>
      <c r="K13" s="21"/>
      <c r="L13" s="21"/>
      <c r="M13" s="22"/>
      <c r="N13" s="47"/>
      <c r="O13" s="61"/>
      <c r="P13" s="46"/>
    </row>
    <row r="14" ht="37.5" customHeight="1">
      <c r="A14" s="23">
        <v>5</v>
      </c>
      <c r="B14" s="24" t="s">
        <v>32</v>
      </c>
      <c r="C14" s="23" t="s">
        <v>29</v>
      </c>
      <c r="D14" s="32"/>
      <c r="E14" s="61"/>
      <c r="F14" s="32"/>
      <c r="G14" s="32"/>
      <c r="H14" s="32"/>
      <c r="I14" s="22"/>
      <c r="J14" s="21"/>
      <c r="K14" s="21"/>
      <c r="L14" s="21"/>
      <c r="M14" s="22"/>
      <c r="N14" s="47"/>
      <c r="O14" s="61"/>
      <c r="P14" s="46"/>
    </row>
    <row r="15" ht="30.75" customHeight="1">
      <c r="A15" s="23">
        <v>6</v>
      </c>
      <c r="B15" s="24" t="s">
        <v>33</v>
      </c>
      <c r="C15" s="23" t="s">
        <v>29</v>
      </c>
      <c r="D15" s="23"/>
      <c r="E15" s="61"/>
      <c r="F15" s="32"/>
      <c r="G15" s="23"/>
      <c r="H15" s="23"/>
      <c r="I15" s="22"/>
      <c r="J15" s="21"/>
      <c r="K15" s="21"/>
      <c r="L15" s="21"/>
      <c r="M15" s="22"/>
      <c r="N15" s="21"/>
      <c r="O15" s="61"/>
      <c r="P15" s="31"/>
    </row>
    <row r="16" ht="51" customHeight="1">
      <c r="A16" s="23">
        <v>7</v>
      </c>
      <c r="B16" s="24" t="s">
        <v>34</v>
      </c>
      <c r="C16" s="23" t="s">
        <v>29</v>
      </c>
      <c r="D16" s="23"/>
      <c r="E16" s="61"/>
      <c r="F16" s="32"/>
      <c r="G16" s="23"/>
      <c r="H16" s="23"/>
      <c r="I16" s="22"/>
      <c r="J16" s="21"/>
      <c r="K16" s="21"/>
      <c r="L16" s="21"/>
      <c r="M16" s="22"/>
      <c r="N16" s="21"/>
      <c r="O16" s="61"/>
      <c r="P16" s="31"/>
    </row>
    <row r="17" ht="43.5" customHeight="1">
      <c r="A17" s="23">
        <v>8</v>
      </c>
      <c r="B17" s="24" t="s">
        <v>35</v>
      </c>
      <c r="C17" s="23" t="s">
        <v>29</v>
      </c>
      <c r="D17" s="23"/>
      <c r="E17" s="61"/>
      <c r="F17" s="32"/>
      <c r="G17" s="23"/>
      <c r="H17" s="23"/>
      <c r="I17" s="22"/>
      <c r="J17" s="21"/>
      <c r="K17" s="21"/>
      <c r="L17" s="21"/>
      <c r="M17" s="22"/>
      <c r="N17" s="21"/>
      <c r="O17" s="61"/>
      <c r="P17" s="31"/>
    </row>
    <row r="18" ht="46.5" customHeight="1">
      <c r="A18" s="23">
        <v>9</v>
      </c>
      <c r="B18" s="24" t="s">
        <v>36</v>
      </c>
      <c r="C18" s="23" t="s">
        <v>29</v>
      </c>
      <c r="D18" s="23"/>
      <c r="E18" s="61"/>
      <c r="F18" s="32"/>
      <c r="G18" s="23"/>
      <c r="H18" s="23"/>
      <c r="I18" s="22"/>
      <c r="J18" s="21"/>
      <c r="K18" s="21"/>
      <c r="L18" s="21"/>
      <c r="M18" s="22"/>
      <c r="N18" s="21"/>
      <c r="O18" s="61"/>
      <c r="P18" s="31"/>
    </row>
    <row r="19" ht="43.5" customHeight="1">
      <c r="A19" s="23">
        <v>10</v>
      </c>
      <c r="B19" s="24" t="s">
        <v>37</v>
      </c>
      <c r="C19" s="23" t="s">
        <v>29</v>
      </c>
      <c r="D19" s="23"/>
      <c r="E19" s="61"/>
      <c r="F19" s="32"/>
      <c r="G19" s="23"/>
      <c r="H19" s="23"/>
      <c r="I19" s="22"/>
      <c r="J19" s="21"/>
      <c r="K19" s="21"/>
      <c r="L19" s="21"/>
      <c r="M19" s="22"/>
      <c r="N19" s="21"/>
      <c r="O19" s="61"/>
      <c r="P19" s="31"/>
    </row>
    <row r="20" ht="42.75" customHeight="1">
      <c r="A20" s="23">
        <v>11</v>
      </c>
      <c r="B20" s="24" t="s">
        <v>38</v>
      </c>
      <c r="C20" s="23" t="s">
        <v>29</v>
      </c>
      <c r="D20" s="23"/>
      <c r="E20" s="61"/>
      <c r="F20" s="32"/>
      <c r="G20" s="23"/>
      <c r="H20" s="23"/>
      <c r="I20" s="22"/>
      <c r="J20" s="21"/>
      <c r="K20" s="21"/>
      <c r="L20" s="21"/>
      <c r="M20" s="22"/>
      <c r="N20" s="21"/>
      <c r="O20" s="61"/>
      <c r="P20" s="31"/>
    </row>
    <row r="21" ht="42.75" customHeight="1">
      <c r="A21" s="23">
        <v>12</v>
      </c>
      <c r="B21" s="24" t="s">
        <v>39</v>
      </c>
      <c r="C21" s="23" t="s">
        <v>29</v>
      </c>
      <c r="D21" s="23"/>
      <c r="E21" s="61"/>
      <c r="F21" s="32"/>
      <c r="G21" s="23"/>
      <c r="H21" s="23"/>
      <c r="I21" s="22"/>
      <c r="J21" s="21"/>
      <c r="K21" s="21"/>
      <c r="L21" s="21"/>
      <c r="M21" s="22"/>
      <c r="N21" s="21"/>
      <c r="O21" s="61"/>
      <c r="P21" s="31"/>
    </row>
    <row r="22" ht="42.75" customHeight="1">
      <c r="A22" s="23">
        <v>13</v>
      </c>
      <c r="B22" s="24" t="s">
        <v>40</v>
      </c>
      <c r="C22" s="23" t="s">
        <v>29</v>
      </c>
      <c r="D22" s="23"/>
      <c r="E22" s="61"/>
      <c r="F22" s="32"/>
      <c r="G22" s="23"/>
      <c r="H22" s="23"/>
      <c r="I22" s="22"/>
      <c r="J22" s="21"/>
      <c r="K22" s="21"/>
      <c r="L22" s="21"/>
      <c r="M22" s="22"/>
      <c r="N22" s="21"/>
      <c r="O22" s="61"/>
      <c r="P22" s="31"/>
    </row>
    <row r="23" ht="42.75" customHeight="1">
      <c r="A23" s="23">
        <v>14</v>
      </c>
      <c r="B23" s="24" t="s">
        <v>41</v>
      </c>
      <c r="C23" s="23" t="s">
        <v>29</v>
      </c>
      <c r="D23" s="23"/>
      <c r="E23" s="61"/>
      <c r="F23" s="32"/>
      <c r="G23" s="23"/>
      <c r="H23" s="23"/>
      <c r="I23" s="22"/>
      <c r="J23" s="21"/>
      <c r="K23" s="21"/>
      <c r="L23" s="21"/>
      <c r="M23" s="22"/>
      <c r="N23" s="21"/>
      <c r="O23" s="61"/>
      <c r="P23" s="31"/>
    </row>
    <row r="24" ht="42.75" customHeight="1">
      <c r="A24" s="23">
        <v>15</v>
      </c>
      <c r="B24" s="24" t="s">
        <v>42</v>
      </c>
      <c r="C24" s="23" t="s">
        <v>29</v>
      </c>
      <c r="D24" s="23"/>
      <c r="E24" s="61"/>
      <c r="F24" s="32"/>
      <c r="G24" s="23"/>
      <c r="H24" s="23"/>
      <c r="I24" s="22"/>
      <c r="J24" s="21"/>
      <c r="K24" s="21"/>
      <c r="L24" s="21"/>
      <c r="M24" s="22"/>
      <c r="N24" s="21"/>
      <c r="O24" s="61"/>
      <c r="P24" s="31"/>
    </row>
    <row r="25" ht="42.75" customHeight="1">
      <c r="A25" s="23">
        <v>16</v>
      </c>
      <c r="B25" s="24" t="s">
        <v>43</v>
      </c>
      <c r="C25" s="23" t="s">
        <v>29</v>
      </c>
      <c r="D25" s="23"/>
      <c r="E25" s="62"/>
      <c r="F25" s="32"/>
      <c r="G25" s="23"/>
      <c r="H25" s="23"/>
      <c r="I25" s="22"/>
      <c r="J25" s="21"/>
      <c r="K25" s="21"/>
      <c r="L25" s="21"/>
      <c r="M25" s="22"/>
      <c r="N25" s="21"/>
      <c r="O25" s="62"/>
      <c r="P25" s="31"/>
    </row>
    <row r="26" ht="39" customHeight="1">
      <c r="A26" s="28" t="s">
        <v>44</v>
      </c>
      <c r="B26" s="36" t="s">
        <v>45</v>
      </c>
      <c r="C26" s="28"/>
      <c r="D26" s="23"/>
      <c r="E26" s="23"/>
      <c r="F26" s="23"/>
      <c r="G26" s="26"/>
      <c r="H26" s="26"/>
      <c r="I26" s="26"/>
      <c r="J26" s="26">
        <f>J27+J47</f>
        <v>523680</v>
      </c>
      <c r="K26" s="26">
        <f>K27+K47</f>
        <v>43300</v>
      </c>
      <c r="L26" s="26">
        <f>L27+L47</f>
        <v>488480</v>
      </c>
      <c r="M26" s="26">
        <f>M27+M47</f>
        <v>600000</v>
      </c>
      <c r="N26" s="26">
        <f>N27+N47</f>
        <v>1171980</v>
      </c>
      <c r="O26" s="26"/>
      <c r="P26" s="21"/>
    </row>
    <row r="27" ht="44.25" customHeight="1">
      <c r="A27" s="28" t="s">
        <v>46</v>
      </c>
      <c r="B27" s="36" t="s">
        <v>47</v>
      </c>
      <c r="C27" s="28"/>
      <c r="D27" s="23"/>
      <c r="E27" s="23"/>
      <c r="F27" s="23"/>
      <c r="G27" s="26"/>
      <c r="H27" s="26"/>
      <c r="I27" s="26"/>
      <c r="J27" s="26">
        <f>J29+J31+J34+J38+J40+J43+J46</f>
        <v>503680</v>
      </c>
      <c r="K27" s="26">
        <f>K29+K31+K34+K38+K40+K43+K46</f>
        <v>38300</v>
      </c>
      <c r="L27" s="26">
        <f>L29+L31+L34+L38+L40+L43+L46</f>
        <v>488480</v>
      </c>
      <c r="M27" s="26">
        <f>M29+M31+M34+M38+M40+M43+M46</f>
        <v>100000</v>
      </c>
      <c r="N27" s="26">
        <f>N29+N31+N34+N38+N40+N43+N46</f>
        <v>646980</v>
      </c>
      <c r="O27" s="26"/>
      <c r="P27" s="21"/>
    </row>
    <row r="28" ht="19.5" customHeight="1">
      <c r="A28" s="28">
        <v>1</v>
      </c>
      <c r="B28" s="29" t="s">
        <v>48</v>
      </c>
      <c r="C28" s="28"/>
      <c r="D28" s="28"/>
      <c r="E28" s="28"/>
      <c r="F28" s="28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ht="26.25" customHeight="1">
      <c r="A29" s="28" t="s">
        <v>49</v>
      </c>
      <c r="B29" s="29" t="s">
        <v>50</v>
      </c>
      <c r="C29" s="28"/>
      <c r="D29" s="28"/>
      <c r="E29" s="28"/>
      <c r="F29" s="28"/>
      <c r="G29" s="26"/>
      <c r="H29" s="26"/>
      <c r="I29" s="26"/>
      <c r="J29" s="26"/>
      <c r="K29" s="26"/>
      <c r="L29" s="26"/>
      <c r="M29" s="26"/>
      <c r="N29" s="37"/>
      <c r="O29" s="37"/>
      <c r="P29" s="26"/>
    </row>
    <row r="30" ht="46.5" customHeight="1">
      <c r="A30" s="23" t="s">
        <v>51</v>
      </c>
      <c r="B30" s="24" t="s">
        <v>52</v>
      </c>
      <c r="C30" s="45" t="s">
        <v>53</v>
      </c>
      <c r="D30" s="45" t="s">
        <v>54</v>
      </c>
      <c r="E30" s="45" t="s">
        <v>54</v>
      </c>
      <c r="F30" s="45" t="s">
        <v>55</v>
      </c>
      <c r="G30" s="39"/>
      <c r="H30" s="39"/>
      <c r="I30" s="39"/>
      <c r="J30" s="39"/>
      <c r="K30" s="39"/>
      <c r="L30" s="39"/>
      <c r="M30" s="39"/>
      <c r="N30" s="44"/>
      <c r="O30" s="44"/>
      <c r="P30" s="39" t="s">
        <v>56</v>
      </c>
    </row>
    <row r="31" ht="27" customHeight="1">
      <c r="A31" s="28" t="s">
        <v>57</v>
      </c>
      <c r="B31" s="32" t="s">
        <v>58</v>
      </c>
      <c r="C31" s="28"/>
      <c r="D31" s="28"/>
      <c r="E31" s="28"/>
      <c r="F31" s="28"/>
      <c r="G31" s="26"/>
      <c r="H31" s="26"/>
      <c r="I31" s="26"/>
      <c r="J31" s="26">
        <f>SUM(J32:J33)</f>
        <v>323680</v>
      </c>
      <c r="K31" s="26">
        <f>SUM(K32:K33)</f>
        <v>13800</v>
      </c>
      <c r="L31" s="26">
        <f>SUM(L32:L33)</f>
        <v>337480</v>
      </c>
      <c r="M31" s="26">
        <f>SUM(M32:M33)</f>
        <v>0</v>
      </c>
      <c r="N31" s="26">
        <f>SUM(N32:N33)</f>
        <v>337480</v>
      </c>
      <c r="O31" s="26"/>
      <c r="P31" s="26"/>
    </row>
    <row r="32" ht="58.5" customHeight="1">
      <c r="A32" s="23" t="s">
        <v>59</v>
      </c>
      <c r="B32" s="24" t="s">
        <v>60</v>
      </c>
      <c r="C32" s="23" t="s">
        <v>61</v>
      </c>
      <c r="D32" s="23" t="s">
        <v>62</v>
      </c>
      <c r="E32" s="23" t="s">
        <v>62</v>
      </c>
      <c r="F32" s="23" t="s">
        <v>63</v>
      </c>
      <c r="G32" s="22" t="s">
        <v>64</v>
      </c>
      <c r="H32" s="22" t="s">
        <v>65</v>
      </c>
      <c r="I32" s="23">
        <v>6</v>
      </c>
      <c r="J32" s="21">
        <f>(400*150+1080*40)*2</f>
        <v>206400</v>
      </c>
      <c r="K32" s="21">
        <f>180*10*6</f>
        <v>10800</v>
      </c>
      <c r="L32" s="21">
        <f>J32+K32</f>
        <v>217200</v>
      </c>
      <c r="M32" s="23"/>
      <c r="N32" s="42">
        <f>L32+M32</f>
        <v>217200</v>
      </c>
      <c r="O32" s="31" t="s">
        <v>66</v>
      </c>
      <c r="P32" s="41" t="s">
        <v>67</v>
      </c>
      <c r="Q32" s="76" t="s">
        <v>68</v>
      </c>
      <c r="T32" s="7">
        <v>400</v>
      </c>
      <c r="U32" s="7">
        <v>1080</v>
      </c>
    </row>
    <row r="33" ht="50.25" customHeight="1">
      <c r="A33" s="23" t="s">
        <v>69</v>
      </c>
      <c r="B33" s="24" t="s">
        <v>70</v>
      </c>
      <c r="C33" s="23" t="s">
        <v>61</v>
      </c>
      <c r="D33" s="23" t="s">
        <v>62</v>
      </c>
      <c r="E33" s="23" t="s">
        <v>62</v>
      </c>
      <c r="F33" s="23" t="s">
        <v>71</v>
      </c>
      <c r="G33" s="22" t="s">
        <v>65</v>
      </c>
      <c r="H33" s="22" t="s">
        <v>65</v>
      </c>
      <c r="I33" s="23">
        <v>4</v>
      </c>
      <c r="J33" s="21">
        <f>(184*150+776*40)*2</f>
        <v>117280</v>
      </c>
      <c r="K33" s="21">
        <v>3000</v>
      </c>
      <c r="L33" s="21">
        <f>J33+K33</f>
        <v>120280</v>
      </c>
      <c r="M33" s="23"/>
      <c r="N33" s="42">
        <f>L33+M33</f>
        <v>120280</v>
      </c>
      <c r="O33" s="31" t="s">
        <v>66</v>
      </c>
      <c r="P33" s="41" t="s">
        <v>72</v>
      </c>
      <c r="Q33" s="77" t="s">
        <v>73</v>
      </c>
    </row>
    <row r="34" ht="22.5" customHeight="1">
      <c r="A34" s="28" t="s">
        <v>74</v>
      </c>
      <c r="B34" s="32" t="s">
        <v>75</v>
      </c>
      <c r="C34" s="28"/>
      <c r="D34" s="28"/>
      <c r="E34" s="28"/>
      <c r="F34" s="28"/>
      <c r="G34" s="27"/>
      <c r="H34" s="27"/>
      <c r="I34" s="26"/>
      <c r="J34" s="26">
        <f>SUM(J35:J37)</f>
        <v>132000</v>
      </c>
      <c r="K34" s="26">
        <f>SUM(K35:K37)</f>
        <v>14000</v>
      </c>
      <c r="L34" s="26">
        <f>SUM(L35:L37)</f>
        <v>146000</v>
      </c>
      <c r="M34" s="26">
        <f>SUM(M35:M37)</f>
        <v>0</v>
      </c>
      <c r="N34" s="26">
        <f>N35</f>
        <v>146000</v>
      </c>
      <c r="O34" s="26"/>
      <c r="P34" s="26"/>
    </row>
    <row r="35" ht="48" customHeight="1">
      <c r="A35" s="23" t="s">
        <v>76</v>
      </c>
      <c r="B35" s="24" t="s">
        <v>77</v>
      </c>
      <c r="C35" s="23" t="s">
        <v>78</v>
      </c>
      <c r="D35" s="23" t="s">
        <v>62</v>
      </c>
      <c r="E35" s="23" t="s">
        <v>62</v>
      </c>
      <c r="F35" s="23" t="s">
        <v>79</v>
      </c>
      <c r="G35" s="22" t="s">
        <v>80</v>
      </c>
      <c r="H35" s="22" t="s">
        <v>81</v>
      </c>
      <c r="I35" s="23">
        <v>38</v>
      </c>
      <c r="J35" s="21">
        <f>40*150*6</f>
        <v>36000</v>
      </c>
      <c r="K35" s="21">
        <v>6000</v>
      </c>
      <c r="L35" s="21">
        <f>J35+K35</f>
        <v>42000</v>
      </c>
      <c r="M35" s="23"/>
      <c r="N35" s="68">
        <f>L35+L36+L37</f>
        <v>146000</v>
      </c>
      <c r="O35" s="67" t="s">
        <v>82</v>
      </c>
      <c r="P35" s="43"/>
    </row>
    <row r="36" ht="57" customHeight="1">
      <c r="A36" s="23" t="s">
        <v>83</v>
      </c>
      <c r="B36" s="24" t="s">
        <v>84</v>
      </c>
      <c r="C36" s="23" t="s">
        <v>85</v>
      </c>
      <c r="D36" s="23" t="s">
        <v>62</v>
      </c>
      <c r="E36" s="23" t="s">
        <v>62</v>
      </c>
      <c r="F36" s="23" t="s">
        <v>79</v>
      </c>
      <c r="G36" s="22" t="s">
        <v>86</v>
      </c>
      <c r="H36" s="22" t="s">
        <v>87</v>
      </c>
      <c r="I36" s="23">
        <v>43</v>
      </c>
      <c r="J36" s="21">
        <f>40*150*8</f>
        <v>48000</v>
      </c>
      <c r="K36" s="21">
        <v>5000</v>
      </c>
      <c r="L36" s="21">
        <f>J36+K36</f>
        <v>53000</v>
      </c>
      <c r="M36" s="23"/>
      <c r="N36" s="68"/>
      <c r="O36" s="67"/>
      <c r="P36" s="43"/>
    </row>
    <row r="37" ht="44.25" customHeight="1">
      <c r="A37" s="23" t="s">
        <v>83</v>
      </c>
      <c r="B37" s="24" t="s">
        <v>88</v>
      </c>
      <c r="C37" s="23" t="s">
        <v>89</v>
      </c>
      <c r="D37" s="23" t="s">
        <v>62</v>
      </c>
      <c r="E37" s="23" t="s">
        <v>62</v>
      </c>
      <c r="F37" s="23" t="s">
        <v>79</v>
      </c>
      <c r="G37" s="22" t="s">
        <v>86</v>
      </c>
      <c r="H37" s="22" t="s">
        <v>90</v>
      </c>
      <c r="I37" s="23">
        <v>18</v>
      </c>
      <c r="J37" s="21">
        <f>40*150*8</f>
        <v>48000</v>
      </c>
      <c r="K37" s="21">
        <v>3000</v>
      </c>
      <c r="L37" s="21">
        <f>J37+K37</f>
        <v>51000</v>
      </c>
      <c r="M37" s="23"/>
      <c r="N37" s="68"/>
      <c r="O37" s="67"/>
      <c r="P37" s="43"/>
    </row>
    <row r="38" ht="22.5" customHeight="1">
      <c r="A38" s="28" t="s">
        <v>91</v>
      </c>
      <c r="B38" s="32" t="s">
        <v>92</v>
      </c>
      <c r="C38" s="28"/>
      <c r="D38" s="28"/>
      <c r="E38" s="28"/>
      <c r="F38" s="28"/>
      <c r="G38" s="27"/>
      <c r="H38" s="27"/>
      <c r="I38" s="26"/>
      <c r="J38" s="26">
        <f>J39</f>
        <v>0</v>
      </c>
      <c r="K38" s="26">
        <f>K39</f>
        <v>0</v>
      </c>
      <c r="L38" s="26"/>
      <c r="M38" s="26">
        <f>M39</f>
        <v>0</v>
      </c>
      <c r="N38" s="26">
        <f>N39</f>
        <v>0</v>
      </c>
      <c r="O38" s="26"/>
      <c r="P38" s="26"/>
    </row>
    <row r="39" ht="27.75" customHeight="1">
      <c r="A39" s="23"/>
      <c r="B39" s="24"/>
      <c r="C39" s="23"/>
      <c r="D39" s="23"/>
      <c r="E39" s="23"/>
      <c r="F39" s="23"/>
      <c r="G39" s="22"/>
      <c r="H39" s="22"/>
      <c r="I39" s="23"/>
      <c r="J39" s="21"/>
      <c r="K39" s="21"/>
      <c r="L39" s="21"/>
      <c r="M39" s="23"/>
      <c r="N39" s="42"/>
      <c r="O39" s="23"/>
      <c r="P39" s="41"/>
    </row>
    <row r="40" ht="19.5" customHeight="1">
      <c r="A40" s="28" t="s">
        <v>93</v>
      </c>
      <c r="B40" s="32" t="s">
        <v>94</v>
      </c>
      <c r="C40" s="28"/>
      <c r="D40" s="28"/>
      <c r="E40" s="28"/>
      <c r="F40" s="28"/>
      <c r="G40" s="27"/>
      <c r="H40" s="27"/>
      <c r="I40" s="26"/>
      <c r="J40" s="26">
        <f>J41</f>
        <v>12000</v>
      </c>
      <c r="K40" s="26">
        <f>K41</f>
        <v>500</v>
      </c>
      <c r="L40" s="26"/>
      <c r="M40" s="26">
        <f>M41</f>
        <v>0</v>
      </c>
      <c r="N40" s="26">
        <f>N41</f>
        <v>12500</v>
      </c>
      <c r="O40" s="26"/>
      <c r="P40" s="40"/>
    </row>
    <row r="41" ht="34.5" customHeight="1">
      <c r="A41" s="23" t="s">
        <v>95</v>
      </c>
      <c r="B41" s="24" t="s">
        <v>77</v>
      </c>
      <c r="C41" s="67" t="s">
        <v>96</v>
      </c>
      <c r="D41" s="67" t="s">
        <v>62</v>
      </c>
      <c r="E41" s="67" t="s">
        <v>62</v>
      </c>
      <c r="F41" s="67" t="s">
        <v>79</v>
      </c>
      <c r="G41" s="75" t="s">
        <v>65</v>
      </c>
      <c r="H41" s="75" t="s">
        <v>97</v>
      </c>
      <c r="I41" s="67">
        <v>2</v>
      </c>
      <c r="J41" s="68">
        <f>40*150*2</f>
        <v>12000</v>
      </c>
      <c r="K41" s="68">
        <v>500</v>
      </c>
      <c r="L41" s="71">
        <f>J41+K41</f>
        <v>12500</v>
      </c>
      <c r="M41" s="69"/>
      <c r="N41" s="68">
        <f>J41+K41</f>
        <v>12500</v>
      </c>
      <c r="O41" s="67" t="s">
        <v>66</v>
      </c>
      <c r="P41" s="33"/>
    </row>
    <row r="42" ht="34.5" customHeight="1">
      <c r="A42" s="23" t="s">
        <v>98</v>
      </c>
      <c r="B42" s="24" t="s">
        <v>84</v>
      </c>
      <c r="C42" s="67"/>
      <c r="D42" s="67"/>
      <c r="E42" s="67"/>
      <c r="F42" s="67"/>
      <c r="G42" s="75"/>
      <c r="H42" s="75"/>
      <c r="I42" s="67"/>
      <c r="J42" s="68"/>
      <c r="K42" s="68"/>
      <c r="L42" s="72"/>
      <c r="M42" s="70"/>
      <c r="N42" s="68"/>
      <c r="O42" s="67"/>
      <c r="P42" s="21"/>
    </row>
    <row r="43" ht="25.5">
      <c r="A43" s="28" t="s">
        <v>99</v>
      </c>
      <c r="B43" s="29" t="s">
        <v>100</v>
      </c>
      <c r="C43" s="30" t="s">
        <v>101</v>
      </c>
      <c r="D43" s="28"/>
      <c r="E43" s="28"/>
      <c r="F43" s="28"/>
      <c r="G43" s="27"/>
      <c r="H43" s="27"/>
      <c r="I43" s="26">
        <f>SUM(I44:I44)</f>
        <v>30</v>
      </c>
      <c r="J43" s="26">
        <f>SUM(J44:J45)</f>
        <v>36000</v>
      </c>
      <c r="K43" s="26">
        <f>SUM(K44:K45)</f>
        <v>10000</v>
      </c>
      <c r="L43" s="26">
        <f>SUM(L44:L45)</f>
        <v>5000</v>
      </c>
      <c r="M43" s="26">
        <f>SUM(M44:M45)</f>
        <v>100000</v>
      </c>
      <c r="N43" s="26">
        <f>SUM(N44:N45)</f>
        <v>151000</v>
      </c>
      <c r="O43" s="26"/>
      <c r="P43" s="26"/>
    </row>
    <row r="44" ht="51.75" customHeight="1">
      <c r="A44" s="23">
        <v>1</v>
      </c>
      <c r="B44" s="24" t="s">
        <v>102</v>
      </c>
      <c r="C44" s="23" t="s">
        <v>103</v>
      </c>
      <c r="D44" s="23"/>
      <c r="E44" s="23"/>
      <c r="F44" s="23" t="s">
        <v>104</v>
      </c>
      <c r="G44" s="22" t="s">
        <v>105</v>
      </c>
      <c r="H44" s="22" t="s">
        <v>64</v>
      </c>
      <c r="I44" s="21">
        <v>30</v>
      </c>
      <c r="J44" s="21">
        <f>150*24*6</f>
        <v>21600</v>
      </c>
      <c r="K44" s="21"/>
      <c r="L44" s="21"/>
      <c r="M44" s="21">
        <v>100000</v>
      </c>
      <c r="N44" s="21">
        <f>J44+K44+L44+M44</f>
        <v>121600</v>
      </c>
      <c r="O44" s="21" t="s">
        <v>106</v>
      </c>
      <c r="P44" s="21"/>
    </row>
    <row r="45" ht="53.25" customHeight="1">
      <c r="A45" s="23">
        <v>2</v>
      </c>
      <c r="B45" s="24" t="s">
        <v>107</v>
      </c>
      <c r="C45" s="23" t="s">
        <v>108</v>
      </c>
      <c r="D45" s="23"/>
      <c r="E45" s="23"/>
      <c r="F45" s="23" t="s">
        <v>109</v>
      </c>
      <c r="G45" s="22" t="s">
        <v>86</v>
      </c>
      <c r="H45" s="22"/>
      <c r="I45" s="39">
        <v>50</v>
      </c>
      <c r="J45" s="39">
        <f>150*16*6</f>
        <v>14400</v>
      </c>
      <c r="K45" s="39">
        <v>10000</v>
      </c>
      <c r="L45" s="39">
        <v>5000</v>
      </c>
      <c r="M45" s="39"/>
      <c r="N45" s="21">
        <f>J45+K45+L45+M45</f>
        <v>29400</v>
      </c>
      <c r="O45" s="21" t="s">
        <v>106</v>
      </c>
      <c r="P45" s="39"/>
    </row>
    <row r="46" ht="24.75" customHeight="1">
      <c r="A46" s="28" t="s">
        <v>110</v>
      </c>
      <c r="B46" s="32" t="s">
        <v>111</v>
      </c>
      <c r="C46" s="30" t="s">
        <v>101</v>
      </c>
      <c r="D46" s="28"/>
      <c r="E46" s="28"/>
      <c r="F46" s="28"/>
      <c r="G46" s="27"/>
      <c r="H46" s="27"/>
      <c r="I46" s="26"/>
      <c r="J46" s="26"/>
      <c r="K46" s="26"/>
      <c r="L46" s="26"/>
      <c r="M46" s="26"/>
      <c r="N46" s="26">
        <v>0</v>
      </c>
      <c r="O46" s="26"/>
      <c r="P46" s="26"/>
    </row>
    <row r="47" ht="29.25" customHeight="1">
      <c r="A47" s="28" t="s">
        <v>112</v>
      </c>
      <c r="B47" s="36" t="s">
        <v>113</v>
      </c>
      <c r="C47" s="28"/>
      <c r="D47" s="23"/>
      <c r="E47" s="23"/>
      <c r="F47" s="26">
        <f>SUM(F49:F54)</f>
        <v>0</v>
      </c>
      <c r="G47" s="26">
        <f>SUM(G49:G54)</f>
        <v>0</v>
      </c>
      <c r="H47" s="26">
        <f>SUM(H49:H54)</f>
        <v>0</v>
      </c>
      <c r="I47" s="26">
        <f>SUM(I49:I54)</f>
        <v>0</v>
      </c>
      <c r="J47" s="26">
        <f>J48+J49+J50+J51+J52</f>
        <v>20000</v>
      </c>
      <c r="K47" s="26">
        <f>K48+K49+K50+K51+K52</f>
        <v>5000</v>
      </c>
      <c r="L47" s="26"/>
      <c r="M47" s="26">
        <f>M48+M49+M50+M51+M52</f>
        <v>500000</v>
      </c>
      <c r="N47" s="26">
        <f>N48+N49+N50+N51+N52</f>
        <v>525000</v>
      </c>
      <c r="O47" s="26">
        <f>SUM(O49:O54)</f>
        <v>0</v>
      </c>
      <c r="P47" s="21"/>
    </row>
    <row r="48" ht="19.5" customHeight="1">
      <c r="A48" s="28">
        <v>1</v>
      </c>
      <c r="B48" s="32" t="s">
        <v>114</v>
      </c>
      <c r="C48" s="30" t="s">
        <v>101</v>
      </c>
      <c r="D48" s="28"/>
      <c r="E48" s="28"/>
      <c r="F48" s="28"/>
      <c r="G48" s="26"/>
      <c r="H48" s="26"/>
      <c r="I48" s="26"/>
      <c r="J48" s="26"/>
      <c r="K48" s="26"/>
      <c r="L48" s="26"/>
      <c r="M48" s="26"/>
      <c r="N48" s="38">
        <v>0</v>
      </c>
      <c r="O48" s="37"/>
      <c r="P48" s="26"/>
    </row>
    <row r="49" ht="19.5" customHeight="1">
      <c r="A49" s="28">
        <v>2</v>
      </c>
      <c r="B49" s="36" t="s">
        <v>75</v>
      </c>
      <c r="C49" s="28"/>
      <c r="D49" s="23"/>
      <c r="E49" s="23"/>
      <c r="F49" s="23"/>
      <c r="G49" s="26"/>
      <c r="H49" s="26"/>
      <c r="I49" s="26"/>
      <c r="J49" s="26"/>
      <c r="K49" s="26"/>
      <c r="L49" s="26"/>
      <c r="M49" s="26"/>
      <c r="N49" s="26">
        <v>0</v>
      </c>
      <c r="O49" s="26"/>
      <c r="P49" s="21"/>
    </row>
    <row r="50" ht="19.5" customHeight="1">
      <c r="A50" s="28">
        <v>3</v>
      </c>
      <c r="B50" s="32" t="s">
        <v>94</v>
      </c>
      <c r="C50" s="30" t="s">
        <v>101</v>
      </c>
      <c r="D50" s="33"/>
      <c r="E50" s="33"/>
      <c r="F50" s="33"/>
      <c r="G50" s="35"/>
      <c r="H50" s="35"/>
      <c r="I50" s="35"/>
      <c r="J50" s="34"/>
      <c r="K50" s="34"/>
      <c r="L50" s="34"/>
      <c r="M50" s="33"/>
      <c r="N50" s="21">
        <v>0</v>
      </c>
      <c r="O50" s="21"/>
      <c r="P50" s="21"/>
    </row>
    <row r="51" ht="40.5" customHeight="1">
      <c r="A51" s="28">
        <v>4</v>
      </c>
      <c r="B51" s="29" t="s">
        <v>100</v>
      </c>
      <c r="C51" s="30" t="s">
        <v>101</v>
      </c>
      <c r="D51" s="28"/>
      <c r="E51" s="28"/>
      <c r="F51" s="28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ht="19.5" customHeight="1">
      <c r="A52" s="28">
        <v>5</v>
      </c>
      <c r="B52" s="32" t="s">
        <v>111</v>
      </c>
      <c r="C52" s="30"/>
      <c r="D52" s="28"/>
      <c r="E52" s="28"/>
      <c r="F52" s="28"/>
      <c r="G52" s="27"/>
      <c r="H52" s="27"/>
      <c r="I52" s="26"/>
      <c r="J52" s="26">
        <f>SUM(J53:J54)</f>
        <v>20000</v>
      </c>
      <c r="K52" s="26">
        <f>SUM(K53:K54)</f>
        <v>5000</v>
      </c>
      <c r="L52" s="26"/>
      <c r="M52" s="26">
        <f>SUM(M53:M54)</f>
        <v>500000</v>
      </c>
      <c r="N52" s="26">
        <f>SUM(N53:N54)</f>
        <v>525000</v>
      </c>
      <c r="O52" s="26"/>
      <c r="P52" s="26"/>
    </row>
    <row r="53" ht="91.5" customHeight="1">
      <c r="A53" s="23" t="s">
        <v>115</v>
      </c>
      <c r="B53" s="31" t="s">
        <v>116</v>
      </c>
      <c r="C53" s="30"/>
      <c r="D53" s="28"/>
      <c r="E53" s="28"/>
      <c r="F53" s="28"/>
      <c r="G53" s="27"/>
      <c r="H53" s="27"/>
      <c r="I53" s="26"/>
      <c r="J53" s="21">
        <v>10000</v>
      </c>
      <c r="K53" s="21">
        <v>5000</v>
      </c>
      <c r="L53" s="21"/>
      <c r="M53" s="21">
        <v>500000</v>
      </c>
      <c r="N53" s="21">
        <f>SUM(J53:M53)</f>
        <v>515000</v>
      </c>
      <c r="O53" s="26"/>
      <c r="P53" s="21"/>
    </row>
    <row r="54" ht="45.75" customHeight="1">
      <c r="A54" s="23" t="s">
        <v>117</v>
      </c>
      <c r="B54" s="24" t="s">
        <v>118</v>
      </c>
      <c r="C54" s="23" t="s">
        <v>62</v>
      </c>
      <c r="D54" s="23" t="s">
        <v>62</v>
      </c>
      <c r="E54" s="23"/>
      <c r="F54" s="28"/>
      <c r="G54" s="27"/>
      <c r="H54" s="27"/>
      <c r="I54" s="26"/>
      <c r="J54" s="21">
        <v>10000</v>
      </c>
      <c r="K54" s="21"/>
      <c r="L54" s="21"/>
      <c r="M54" s="21"/>
      <c r="N54" s="21">
        <f>J54</f>
        <v>10000</v>
      </c>
      <c r="O54" s="21"/>
      <c r="P54" s="26"/>
    </row>
    <row r="55" ht="30.75" customHeight="1">
      <c r="A55" s="28" t="s">
        <v>119</v>
      </c>
      <c r="B55" s="29" t="s">
        <v>120</v>
      </c>
      <c r="C55" s="28"/>
      <c r="D55" s="28"/>
      <c r="E55" s="28"/>
      <c r="F55" s="28"/>
      <c r="G55" s="27"/>
      <c r="H55" s="27"/>
      <c r="I55" s="26"/>
      <c r="J55" s="26"/>
      <c r="K55" s="26"/>
      <c r="L55" s="26"/>
      <c r="M55" s="26"/>
      <c r="N55" s="26"/>
      <c r="O55" s="26"/>
      <c r="P55" s="26"/>
    </row>
    <row r="56" ht="51.75" customHeight="1">
      <c r="A56" s="23">
        <v>1</v>
      </c>
      <c r="B56" s="25" t="s">
        <v>121</v>
      </c>
      <c r="C56" s="23"/>
      <c r="D56" s="23"/>
      <c r="E56" s="23"/>
      <c r="F56" s="23"/>
      <c r="G56" s="22"/>
      <c r="H56" s="22"/>
      <c r="I56" s="21"/>
      <c r="J56" s="21"/>
      <c r="K56" s="21"/>
      <c r="L56" s="21"/>
      <c r="M56" s="21"/>
      <c r="N56" s="21"/>
      <c r="O56" s="21"/>
      <c r="P56" s="21"/>
    </row>
    <row r="57" ht="68.25" customHeight="1">
      <c r="A57" s="23">
        <v>2</v>
      </c>
      <c r="B57" s="24" t="s">
        <v>122</v>
      </c>
      <c r="C57" s="23"/>
      <c r="D57" s="23"/>
      <c r="E57" s="23"/>
      <c r="F57" s="23"/>
      <c r="G57" s="22"/>
      <c r="H57" s="22"/>
      <c r="I57" s="21"/>
      <c r="J57" s="21"/>
      <c r="K57" s="21"/>
      <c r="L57" s="21"/>
      <c r="M57" s="21"/>
      <c r="N57" s="21"/>
      <c r="O57" s="21"/>
      <c r="P57" s="21"/>
    </row>
    <row r="58" ht="84" customHeight="1">
      <c r="A58" s="23">
        <v>3</v>
      </c>
      <c r="B58" s="24" t="s">
        <v>123</v>
      </c>
      <c r="C58" s="23"/>
      <c r="D58" s="23"/>
      <c r="E58" s="23"/>
      <c r="F58" s="23"/>
      <c r="G58" s="22"/>
      <c r="H58" s="22"/>
      <c r="I58" s="21"/>
      <c r="J58" s="21"/>
      <c r="K58" s="21"/>
      <c r="L58" s="21"/>
      <c r="M58" s="21"/>
      <c r="N58" s="21"/>
      <c r="O58" s="21"/>
      <c r="P58" s="21"/>
    </row>
    <row r="59" ht="66" customHeight="1">
      <c r="A59" s="23">
        <v>4</v>
      </c>
      <c r="B59" s="24" t="s">
        <v>124</v>
      </c>
      <c r="C59" s="23"/>
      <c r="D59" s="23"/>
      <c r="E59" s="23"/>
      <c r="F59" s="23"/>
      <c r="G59" s="22"/>
      <c r="H59" s="22"/>
      <c r="I59" s="21"/>
      <c r="J59" s="21"/>
      <c r="K59" s="21"/>
      <c r="L59" s="21"/>
      <c r="M59" s="21"/>
      <c r="N59" s="21"/>
      <c r="O59" s="21"/>
      <c r="P59" s="21"/>
    </row>
    <row r="60" ht="55.5" customHeight="1">
      <c r="A60" s="23">
        <v>5</v>
      </c>
      <c r="B60" s="24" t="s">
        <v>125</v>
      </c>
      <c r="C60" s="23"/>
      <c r="D60" s="23"/>
      <c r="E60" s="23"/>
      <c r="F60" s="23"/>
      <c r="G60" s="22"/>
      <c r="H60" s="22"/>
      <c r="I60" s="21"/>
      <c r="J60" s="21"/>
      <c r="K60" s="21"/>
      <c r="L60" s="21"/>
      <c r="M60" s="21"/>
      <c r="N60" s="21"/>
      <c r="O60" s="21"/>
      <c r="P60" s="21"/>
    </row>
    <row r="61" ht="46.5" customHeight="1">
      <c r="A61" s="23">
        <v>6</v>
      </c>
      <c r="B61" s="24" t="s">
        <v>126</v>
      </c>
      <c r="C61" s="23"/>
      <c r="D61" s="23"/>
      <c r="E61" s="23"/>
      <c r="F61" s="23"/>
      <c r="G61" s="22"/>
      <c r="H61" s="22"/>
      <c r="I61" s="21"/>
      <c r="J61" s="21"/>
      <c r="K61" s="21"/>
      <c r="L61" s="21"/>
      <c r="M61" s="21"/>
      <c r="N61" s="21"/>
      <c r="O61" s="21"/>
      <c r="P61" s="21"/>
    </row>
    <row r="62" ht="30.75" customHeight="1">
      <c r="A62" s="23"/>
      <c r="B62" s="24"/>
      <c r="C62" s="23"/>
      <c r="D62" s="23"/>
      <c r="E62" s="23"/>
      <c r="F62" s="23"/>
      <c r="G62" s="22"/>
      <c r="H62" s="22"/>
      <c r="I62" s="21"/>
      <c r="J62" s="21"/>
      <c r="K62" s="21"/>
      <c r="L62" s="21"/>
      <c r="M62" s="21"/>
      <c r="N62" s="21"/>
      <c r="O62" s="21"/>
      <c r="P62" s="21"/>
    </row>
    <row r="63" ht="24" customHeight="1">
      <c r="A63" s="17"/>
      <c r="B63" s="20" t="s">
        <v>127</v>
      </c>
      <c r="C63" s="17"/>
      <c r="D63" s="17"/>
      <c r="E63" s="17"/>
      <c r="F63" s="17"/>
      <c r="G63" s="19"/>
      <c r="H63" s="19"/>
      <c r="I63" s="17"/>
      <c r="J63" s="18"/>
      <c r="K63" s="18"/>
      <c r="L63" s="18"/>
      <c r="M63" s="17"/>
      <c r="N63" s="16">
        <f>N8</f>
        <v>1171980</v>
      </c>
      <c r="O63" s="15"/>
      <c r="P63" s="14"/>
    </row>
  </sheetData>
  <mergeCells>
    <mergeCell ref="E10:E25"/>
    <mergeCell ref="L41:L42"/>
    <mergeCell ref="A4:XFD4"/>
    <mergeCell ref="O41:O42"/>
    <mergeCell ref="N35:N37"/>
    <mergeCell ref="O35:O37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M41:M42"/>
    <mergeCell ref="N41:N42"/>
    <mergeCell ref="H5:H6"/>
    <mergeCell ref="I5:I6"/>
    <mergeCell ref="J5:N5"/>
    <mergeCell ref="O10:O25"/>
    <mergeCell ref="A1:C1"/>
    <mergeCell ref="K1:O1"/>
    <mergeCell ref="A3:P3"/>
    <mergeCell ref="A5:A6"/>
    <mergeCell ref="B5:B6"/>
    <mergeCell ref="C5:C6"/>
    <mergeCell ref="D5:D6"/>
    <mergeCell ref="E5:E6"/>
    <mergeCell ref="F5:F6"/>
    <mergeCell ref="O5:O6"/>
    <mergeCell ref="P5:P6"/>
    <mergeCell ref="G5:G6"/>
  </mergeCells>
  <pageMargins left="0.51" right="0.15748031496063" top="0.74803149606299202" bottom="0.31496062992126" header="0.31496062992126" footer="0.23622047244094499"/>
  <pageSetup paperSize="9" scale="71" orientation="landscape"/>
  <headerFooter differentOddEven="1">
    <oddHeader>&amp;C&amp;G</oddHeader>
    <oddFooter>&amp;L&amp;10&amp;KB8CCE4&amp;"Arial,Regular Bold"Thông tin tải về
18/9/2026-3:20 PM
Ban TCCB - LĐ TCT
todaotaohuanluyen&amp;C&amp;"-,Bold"Ngày 10/3/2026&amp;RTrang: 2/2</oddFooter>
    <evenHeader>&amp;C&amp;G</evenHeader>
    <evenFooter>&amp;L&amp;10&amp;KB8CCE4&amp;"Arial,Regular Bold"Thông tin tải về
18/9/2026-3:20 PM
Ban TCCB - LĐ TCT
todaotaohuanluyen</evenFooter>
  </headerFooter>
  <colBreaks count="1" manualBreakCount="1">
    <brk id="16" max="16383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 có khai giảng, bế giảng</vt:lpstr>
      <vt:lpstr>'KH có khai giảng, bế giảng'!Print_Titles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thu Khi tuong hang khong</dc:creator>
  <cp:lastModifiedBy>Van thu Khi tuong hang khong</cp:lastModifiedBy>
  <cp:lastPrinted>2026-09-14T03:16:44Z</cp:lastPrinted>
  <dcterms:created xsi:type="dcterms:W3CDTF">2026-09-14T03:07:54Z</dcterms:created>
  <dcterms:modified xsi:type="dcterms:W3CDTF">2026-09-15T01:14:33Z</dcterms:modified>
</cp:coreProperties>
</file>