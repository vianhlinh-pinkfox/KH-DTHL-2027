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7"/>
  <workbookPr showInkAnnotation="0" defaultThemeVersion="124226"/>
  <mc:AlternateContent xmlns:mc="http://schemas.openxmlformats.org/markup-compatibility/2006">
    <mc:Choice Requires="x15">
      <x15ac:absPath xmlns:x15ac="http://schemas.microsoft.com/office/spreadsheetml/2010/11/ac" url="D:\TCCB\LƯƠNG\LƯƠNG 2026\KÊ HOẠCH 2027\"/>
    </mc:Choice>
  </mc:AlternateContent>
  <xr:revisionPtr revIDLastSave="0" documentId="8_{41910FBA-B4A2-4242-A641-871DA0D84133}" xr6:coauthVersionLast="36" xr6:coauthVersionMax="36" xr10:uidLastSave="{00000000-0000-0000-0000-000000000000}"/>
  <bookViews>
    <workbookView xWindow="-120" yWindow="-120" windowWidth="38640" windowHeight="21120" firstSheet="5" activeTab="5" xr2:uid="{00000000-000D-0000-FFFF-FFFF00000000}"/>
  </bookViews>
  <sheets>
    <sheet name="foxz" sheetId="113" state="hidden" r:id="rId1"/>
    <sheet name="Sheet1" sheetId="155" state="hidden" r:id="rId2"/>
    <sheet name="Sheet4" sheetId="172" state="hidden" r:id="rId3"/>
    <sheet name="PL 1.6.3 Bảo dưỡng thuê ngoài" sheetId="150" state="hidden" r:id="rId4"/>
    <sheet name="Sheet2" sheetId="160" state="hidden" r:id="rId5"/>
    <sheet name="ĐTHL" sheetId="153" r:id="rId6"/>
    <sheet name="Sheet6" sheetId="173" state="hidden" r:id="rId7"/>
    <sheet name="00000000" sheetId="48" state="veryHidden" r:id="rId8"/>
    <sheet name="10000000" sheetId="51" state="veryHidden"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btm150">#REF!</definedName>
    <definedName name="_btM200">#REF!</definedName>
    <definedName name="_btM250">#REF!</definedName>
    <definedName name="_btM300">#REF!</definedName>
    <definedName name="_coc250">#REF!</definedName>
    <definedName name="_coc300">#REF!</definedName>
    <definedName name="_coc350">#REF!</definedName>
    <definedName name="_Fill" hidden="1">#REF!</definedName>
    <definedName name="_gon4">#REF!</definedName>
    <definedName name="_nc35">'[1]he so'!$B$2</definedName>
    <definedName name="_nsd1">#REF!</definedName>
    <definedName name="_nsd2">#REF!</definedName>
    <definedName name="_nsd3">#REF!</definedName>
    <definedName name="_nsd4">#REF!</definedName>
    <definedName name="B_ng_dÝnh">'[1]he so'!$B$24</definedName>
    <definedName name="betong100">'[2]Gia vat tu'!$P$26</definedName>
    <definedName name="betong200">'[2]Gia vat tu'!$J$31</definedName>
    <definedName name="betongm200">#REF!</definedName>
    <definedName name="Bitum">'[1]he so'!$B$19</definedName>
    <definedName name="bom">'[1]he so'!$B$11</definedName>
    <definedName name="botda">#REF!</definedName>
    <definedName name="botmau">#REF!</definedName>
    <definedName name="btchiuaxitm300">#REF!</definedName>
    <definedName name="BTchiuaxm200">#REF!</definedName>
    <definedName name="btcocM400">#REF!</definedName>
    <definedName name="BTlotm100">#REF!</definedName>
    <definedName name="btnhuamin">#REF!</definedName>
    <definedName name="btnhuatho">#REF!</definedName>
    <definedName name="btthuongpham150">'[3]Gia vat tu'!$E$45</definedName>
    <definedName name="btthuongpham200">#REF!</definedName>
    <definedName name="btthuongpham250">#REF!</definedName>
    <definedName name="btthuongpham300">'[3]Gia vat tu'!$E$47</definedName>
    <definedName name="bulong">#REF!</definedName>
    <definedName name="catmin">#REF!</definedName>
    <definedName name="catnen">#REF!</definedName>
    <definedName name="catvang">#REF!</definedName>
    <definedName name="caychong">#REF!</definedName>
    <definedName name="Cdnum">#REF!</definedName>
    <definedName name="cfc">#REF!</definedName>
    <definedName name="Cñi">'[1]he so'!$B$22</definedName>
    <definedName name="cpc">'[1]he so'!$B$5</definedName>
    <definedName name="CT_03">'[3]Gia vat tu'!$E$52</definedName>
    <definedName name="D_y__ay">'[1]he so'!$B$18</definedName>
    <definedName name="da0.5x1">#REF!</definedName>
    <definedName name="da1x2">#REF!</definedName>
    <definedName name="da2x4">#REF!</definedName>
    <definedName name="da300x300">#REF!</definedName>
    <definedName name="da4x6">#REF!</definedName>
    <definedName name="dahoc">#REF!</definedName>
    <definedName name="danep">#REF!</definedName>
    <definedName name="danho">#REF!</definedName>
    <definedName name="datden">#REF!</definedName>
    <definedName name="dauchi">'[1]he so'!$B$16</definedName>
    <definedName name="daybuoc">#REF!</definedName>
    <definedName name="dinh">#REF!</definedName>
    <definedName name="dinhdia">#REF!</definedName>
    <definedName name="G_C">#REF!</definedName>
    <definedName name="gach2lo">#REF!</definedName>
    <definedName name="gach3x10">#REF!</definedName>
    <definedName name="gachblock">'[3]Gia vat tu'!$E$55</definedName>
    <definedName name="gachchongtron">#REF!</definedName>
    <definedName name="gachdac">#REF!</definedName>
    <definedName name="gachlanem">#REF!</definedName>
    <definedName name="gachllatnen30x30">#REF!</definedName>
    <definedName name="gachllatnen40x40">#REF!</definedName>
    <definedName name="gachllatnen50x50">'[4]Gia vat tu'!#REF!</definedName>
    <definedName name="gachop10x10">#REF!</definedName>
    <definedName name="gachop20x15">#REF!</definedName>
    <definedName name="gachvo">#REF!</definedName>
    <definedName name="Giocong">#REF!</definedName>
    <definedName name="han">'[1]he so'!$B$10</definedName>
    <definedName name="hs">#REF!</definedName>
    <definedName name="hsdc">#REF!</definedName>
    <definedName name="hsk">#REF!</definedName>
    <definedName name="hsm">#REF!</definedName>
    <definedName name="hsnc">#REF!</definedName>
    <definedName name="hstdtk">'[5]M-Build'!#REF!</definedName>
    <definedName name="hsthep">#REF!</definedName>
    <definedName name="hsvl">#REF!</definedName>
    <definedName name="jdhkshfs">#REF!</definedName>
    <definedName name="khoan">'[1]he so'!$B$9</definedName>
    <definedName name="KL_C">#REF!</definedName>
    <definedName name="ln">#REF!</definedName>
    <definedName name="luoithep">#REF!</definedName>
    <definedName name="m">#REF!</definedName>
    <definedName name="mazut">'[1]he so'!$B$14</definedName>
    <definedName name="moc">#REF!</definedName>
    <definedName name="mophanchi">'[1]he so'!$B$17</definedName>
    <definedName name="Mucluc07">'[6]SCTX-2'!#REF!</definedName>
    <definedName name="nc">#REF!</definedName>
    <definedName name="oxy">#REF!</definedName>
    <definedName name="_xlnm.Print_Area" localSheetId="5">ĐTHL!$A$1:$AC$89</definedName>
    <definedName name="_xlnm.Print_Area" localSheetId="3">'PL 1.6.3 Bảo dưỡng thuê ngoài'!$A$1:$M$22</definedName>
    <definedName name="_xlnm.Print_Titles" localSheetId="5">ĐTHL!$14:$17</definedName>
    <definedName name="_xlnm.Print_Titles" localSheetId="3">'PL 1.6.3 Bảo dưỡng thuê ngoài'!$3:$4</definedName>
    <definedName name="_xlnm.Print_Titles">#N/A</definedName>
    <definedName name="qhCu">'[1]he so'!$B$13</definedName>
    <definedName name="quehan">#REF!</definedName>
    <definedName name="rate">14000</definedName>
    <definedName name="sl">'[7]SCTX-2'!#REF!</definedName>
    <definedName name="soigai">'[1]he so'!$B$15</definedName>
    <definedName name="son">#REF!</definedName>
    <definedName name="thephinh">#REF!</definedName>
    <definedName name="thepnho">#REF!</definedName>
    <definedName name="theptam">#REF!</definedName>
    <definedName name="theptb">#REF!</definedName>
    <definedName name="thepto">#REF!</definedName>
    <definedName name="tk">#REF!</definedName>
    <definedName name="usd">#REF!</definedName>
    <definedName name="V_i_ni_l_ng">'[1]he so'!$B$23</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chuyencoc">'[3]Gia vat tu'!$E$53</definedName>
    <definedName name="vankhuon">#REF!</definedName>
    <definedName name="vat">#REF!</definedName>
    <definedName name="vbtchongnuocm300">#REF!</definedName>
    <definedName name="vbtm150">#REF!</definedName>
    <definedName name="vbtm300">#REF!</definedName>
    <definedName name="vbtm400">#REF!</definedName>
    <definedName name="vkcauthang">#REF!</definedName>
    <definedName name="vksan">#REF!</definedName>
    <definedName name="vl">#REF!</definedName>
    <definedName name="vlp">'[1]he so'!$B$1</definedName>
    <definedName name="voi">#REF!</definedName>
    <definedName name="VTDP17">'[8]SCTX-2'!#REF!</definedName>
    <definedName name="vua_75">[9]dongia!#REF!</definedName>
    <definedName name="X_ng">'[1]he so'!$B$20</definedName>
    <definedName name="Xim_ng_PC40">'[1]he so'!$B$21</definedName>
    <definedName name="xm">#REF!</definedName>
    <definedName name="XMcatden50">#REF!</definedName>
    <definedName name="XMcatden75">#REF!</definedName>
    <definedName name="xmcatvang100">#REF!</definedName>
    <definedName name="XMcatvang50">#REF!</definedName>
    <definedName name="XMcatvang75">#REF!</definedName>
    <definedName name="xmcax">#REF!</definedName>
    <definedName name="xmtrang">#REF!</definedName>
  </definedNames>
  <calcPr calcId="191029"/>
</workbook>
</file>

<file path=xl/calcChain.xml><?xml version="1.0" encoding="utf-8"?>
<calcChain xmlns="http://schemas.openxmlformats.org/spreadsheetml/2006/main">
  <c r="AA42" i="153" l="1"/>
  <c r="Z42" i="153"/>
  <c r="Y46" i="153"/>
  <c r="Y45" i="153"/>
  <c r="Y44" i="153"/>
  <c r="Y43" i="153"/>
  <c r="Y41" i="153"/>
  <c r="Y39" i="153"/>
  <c r="Y38" i="153"/>
  <c r="Y37" i="153"/>
  <c r="S46" i="153"/>
  <c r="S45" i="153"/>
  <c r="S44" i="153"/>
  <c r="S43" i="153"/>
  <c r="S41" i="153"/>
  <c r="S39" i="153"/>
  <c r="S38" i="153"/>
  <c r="S37" i="153"/>
  <c r="L41" i="153"/>
  <c r="L39" i="153"/>
  <c r="L38" i="153"/>
  <c r="L37" i="153"/>
  <c r="X41" i="153" l="1"/>
  <c r="Z41" i="153" s="1"/>
  <c r="X45" i="153"/>
  <c r="Z45" i="153" s="1"/>
  <c r="X38" i="153"/>
  <c r="Z38" i="153" s="1"/>
  <c r="X43" i="153"/>
  <c r="Z43" i="153" s="1"/>
  <c r="X44" i="153"/>
  <c r="Z44" i="153" s="1"/>
  <c r="X46" i="153"/>
  <c r="Z46" i="153" s="1"/>
  <c r="X39" i="153"/>
  <c r="Z39" i="153" s="1"/>
  <c r="X37" i="153"/>
  <c r="Z37" i="153" s="1"/>
  <c r="AA37" i="153" s="1"/>
  <c r="AA36" i="153" s="1"/>
  <c r="AA18" i="153" s="1"/>
  <c r="Z36" i="153" l="1"/>
  <c r="Z18" i="153" s="1"/>
  <c r="T53" i="173" l="1"/>
  <c r="N53" i="173"/>
  <c r="M53" i="173"/>
  <c r="R53" i="173" s="1"/>
  <c r="T52" i="173"/>
  <c r="Q52" i="173"/>
  <c r="P52" i="173"/>
  <c r="O52" i="173"/>
  <c r="N52" i="173"/>
  <c r="M52" i="173"/>
  <c r="L52" i="173"/>
  <c r="T51" i="173"/>
  <c r="N51" i="173"/>
  <c r="M51" i="173"/>
  <c r="L51" i="173"/>
  <c r="T50" i="173"/>
  <c r="N50" i="173"/>
  <c r="M50" i="173"/>
  <c r="T49" i="173"/>
  <c r="Q49" i="173"/>
  <c r="N49" i="173"/>
  <c r="M49" i="173"/>
  <c r="L49" i="173"/>
  <c r="T48" i="173"/>
  <c r="Q48" i="173"/>
  <c r="P48" i="173"/>
  <c r="O48" i="173"/>
  <c r="N48" i="173"/>
  <c r="M48" i="173"/>
  <c r="L48" i="173"/>
  <c r="S47" i="173"/>
  <c r="T47" i="173" s="1"/>
  <c r="T44" i="173"/>
  <c r="O44" i="173"/>
  <c r="N44" i="173"/>
  <c r="M44" i="173"/>
  <c r="L44" i="173"/>
  <c r="T43" i="173"/>
  <c r="O43" i="173"/>
  <c r="N43" i="173"/>
  <c r="M43" i="173"/>
  <c r="L43" i="173"/>
  <c r="S42" i="173"/>
  <c r="T42" i="173" s="1"/>
  <c r="T21" i="173"/>
  <c r="R21" i="173"/>
  <c r="T19" i="173"/>
  <c r="R19" i="173"/>
  <c r="T18" i="173"/>
  <c r="S17" i="173"/>
  <c r="T17" i="173" s="1"/>
  <c r="R51" i="173" l="1"/>
  <c r="R49" i="173"/>
  <c r="R17" i="173"/>
  <c r="R52" i="173"/>
  <c r="R43" i="173"/>
  <c r="R48" i="173"/>
  <c r="R44" i="173"/>
  <c r="R50" i="173"/>
  <c r="S16" i="173"/>
  <c r="T16" i="173" s="1"/>
  <c r="R42" i="173" l="1"/>
  <c r="R47" i="173"/>
  <c r="R16" i="173" l="1"/>
  <c r="G14" i="150" l="1"/>
  <c r="G13" i="150" s="1"/>
  <c r="G12" i="150" s="1"/>
  <c r="G8" i="150"/>
  <c r="G7" i="150" s="1"/>
  <c r="G6" i="150" s="1"/>
  <c r="G5" i="150" l="1"/>
  <c r="H8" i="155" l="1"/>
</calcChain>
</file>

<file path=xl/sharedStrings.xml><?xml version="1.0" encoding="utf-8"?>
<sst xmlns="http://schemas.openxmlformats.org/spreadsheetml/2006/main" count="750" uniqueCount="413">
  <si>
    <t>Ghi chú</t>
  </si>
  <si>
    <t>I</t>
  </si>
  <si>
    <t>TT</t>
  </si>
  <si>
    <t>II</t>
  </si>
  <si>
    <t>III</t>
  </si>
  <si>
    <t>A</t>
  </si>
  <si>
    <t>Nội dung</t>
  </si>
  <si>
    <t>4</t>
  </si>
  <si>
    <t>3</t>
  </si>
  <si>
    <t>ĐVT</t>
  </si>
  <si>
    <t>Số lượng</t>
  </si>
  <si>
    <t>Số lần thay trong 1 năm</t>
  </si>
  <si>
    <t xml:space="preserve">  Đơn giá</t>
  </si>
  <si>
    <t>Thành tiền</t>
  </si>
  <si>
    <t>Chiếc</t>
  </si>
  <si>
    <t>Máy in A3</t>
  </si>
  <si>
    <t>Phòng HCTH</t>
  </si>
  <si>
    <t>Số người đã được đào tạo, huấn luyện (nếu có)</t>
  </si>
  <si>
    <t>Sự cần thiết và mục tiêu</t>
  </si>
  <si>
    <t>Đơn vị thực hiện</t>
  </si>
  <si>
    <t>Thời gian (số ngày)</t>
  </si>
  <si>
    <t>Số lớp</t>
  </si>
  <si>
    <t>Tổng số người</t>
  </si>
  <si>
    <t>Kinh phí</t>
  </si>
  <si>
    <t>Đào tạo-huấn luyện tự thực hiện</t>
  </si>
  <si>
    <t>Huấn luyện cập nhật khi có văn bản, quy trình, tài liệu mới.</t>
  </si>
  <si>
    <t>Huấn luyện định kỳ</t>
  </si>
  <si>
    <t>Huấn luyện TKCN đường không</t>
  </si>
  <si>
    <t>Theo kế hoạch của UBQG ƯPSCTT&amp;TKCN</t>
  </si>
  <si>
    <t>Đào tạo chứng chỉ chuyên môn</t>
  </si>
  <si>
    <t>Huấn luyện định kỳ nhân viên hiệp đồng tìm kiếm cứu nạn</t>
  </si>
  <si>
    <t>-</t>
  </si>
  <si>
    <t>7=(4x5x6)</t>
  </si>
  <si>
    <t>a</t>
  </si>
  <si>
    <t xml:space="preserve"> Nhà B</t>
  </si>
  <si>
    <t>Máy in A4, máy fax</t>
  </si>
  <si>
    <t>Thay Cát trích</t>
  </si>
  <si>
    <t>Thay cụm sấy</t>
  </si>
  <si>
    <t>b</t>
  </si>
  <si>
    <t>Nhà ATCC</t>
  </si>
  <si>
    <t>Máy in A4, máy Fax</t>
  </si>
  <si>
    <t>1 2</t>
  </si>
  <si>
    <t>1,200</t>
  </si>
  <si>
    <t>c</t>
  </si>
  <si>
    <t>Trung tâm HĐTKMN</t>
  </si>
  <si>
    <t>Băng mực máy in Brother</t>
  </si>
  <si>
    <t>1,600</t>
  </si>
  <si>
    <t>Băng mực máy EPSON LX310</t>
  </si>
  <si>
    <t>Cát trích máy in. máy Fax</t>
  </si>
  <si>
    <t xml:space="preserve"> Thay băng mực máy in kim</t>
  </si>
  <si>
    <t>2</t>
  </si>
  <si>
    <t>1</t>
  </si>
  <si>
    <t>16</t>
  </si>
  <si>
    <t xml:space="preserve">Huấn luyện TKCN đường biển </t>
  </si>
  <si>
    <t>5</t>
  </si>
  <si>
    <t>6</t>
  </si>
  <si>
    <t>Đào tạo, huấn luyện tại nước ngoài</t>
  </si>
  <si>
    <t>B</t>
  </si>
  <si>
    <t xml:space="preserve">Vật tư phụ tùng thay thế </t>
  </si>
  <si>
    <t>7</t>
  </si>
  <si>
    <t>8</t>
  </si>
  <si>
    <t>9</t>
  </si>
  <si>
    <t>11</t>
  </si>
  <si>
    <t>12</t>
  </si>
  <si>
    <t>13</t>
  </si>
  <si>
    <t>10</t>
  </si>
  <si>
    <t>14</t>
  </si>
  <si>
    <t>15</t>
  </si>
  <si>
    <t>Phụ lục 5.3: CHI PHÍ DỊCH VỤ MUA NGOÀI                                                        (CHI PHÍ SỬA CHỮA  BẢO DƯỠNG)  NĂM 2024</t>
  </si>
  <si>
    <t>Đối tượng (bao gồm về trình độ chuyên môn, tiếng Anh, kinh nghiệm công tác)</t>
  </si>
  <si>
    <t>Nơi đào tạo/ Cơ sở đào tạo dự kiến (hoặc cơ quan, đơn vị chủ trì)</t>
  </si>
  <si>
    <t>Số người/ lớp</t>
  </si>
  <si>
    <t>Khai giảng, bế giảng</t>
  </si>
  <si>
    <t>Tiền nước</t>
  </si>
  <si>
    <t>Giáo viên</t>
  </si>
  <si>
    <t>Chi phí thuê ngoài</t>
  </si>
  <si>
    <t>Công tác phí</t>
  </si>
  <si>
    <t>Tiến độ /Phân kỳ thực hiện</t>
  </si>
  <si>
    <t>Phụ cấp lưu trú</t>
  </si>
  <si>
    <t>Phòng nghỉ</t>
  </si>
  <si>
    <t>ĐÀO TẠO-HUẤN LUYỆN TRONG NƯỚC</t>
  </si>
  <si>
    <t>Đào tạo huấn luyện thuê ngoài</t>
  </si>
  <si>
    <t>18</t>
  </si>
  <si>
    <t>UBQG ƯPSCTT&amp;TKCN</t>
  </si>
  <si>
    <t>30</t>
  </si>
  <si>
    <t>60</t>
  </si>
  <si>
    <t>MN (01) MB (04)</t>
  </si>
  <si>
    <t>CB, NV TT</t>
  </si>
  <si>
    <t>42</t>
  </si>
  <si>
    <t>Nghiệp vụ đấu thầu</t>
  </si>
  <si>
    <t>Theo KH của TCT/ TT ĐTHL NV QLB</t>
  </si>
  <si>
    <t>Cao cấp lý luận chính trị</t>
  </si>
  <si>
    <t>Trung cấp lý luận chính trị</t>
  </si>
  <si>
    <t>Bồi dưỡng nghiệp vụ sư phạm</t>
  </si>
  <si>
    <t>Nghiệp vụ văn phòng</t>
  </si>
  <si>
    <t>II.1</t>
  </si>
  <si>
    <t>Đào tạo huấn luyện nhân viên bảo đảm hoạt động bay (ANS)</t>
  </si>
  <si>
    <t>Tìm kiếm cứu nạn hàng không dân dụng</t>
  </si>
  <si>
    <t>5.1</t>
  </si>
  <si>
    <t>5.1.1</t>
  </si>
  <si>
    <t>Nhân viên TKCN HK</t>
  </si>
  <si>
    <t>TT ĐTHL NVQLB</t>
  </si>
  <si>
    <t>Kinh phí thực tế theo TT ĐTHLNV QLB</t>
  </si>
  <si>
    <t>5.2</t>
  </si>
  <si>
    <t>Huấn luyện năng định</t>
  </si>
  <si>
    <t>5.2.1</t>
  </si>
  <si>
    <t>Huấn luyện năng định nhân viên Hiệp đồng TKCN</t>
  </si>
  <si>
    <t>NV TT HĐ TKCN MN</t>
  </si>
  <si>
    <t>TT HĐ TKCN MN</t>
  </si>
  <si>
    <t>5.3</t>
  </si>
  <si>
    <t>5.3.1</t>
  </si>
  <si>
    <t>NV TT HĐ TKCN MB</t>
  </si>
  <si>
    <t>TT HĐ TKCN MB</t>
  </si>
  <si>
    <t>5.3.2</t>
  </si>
  <si>
    <t>NV TTHĐ TKCN MN</t>
  </si>
  <si>
    <t xml:space="preserve">5 </t>
  </si>
  <si>
    <t>5.4</t>
  </si>
  <si>
    <t xml:space="preserve"> Huấn luyện chuyển loại</t>
  </si>
  <si>
    <t>5.5</t>
  </si>
  <si>
    <t>Huấn luyện phục hồi</t>
  </si>
  <si>
    <t>5.6</t>
  </si>
  <si>
    <t>Huấn luyện bồi dưỡng nâng cao (bổ túc, bổ sung, cập nhật,….)</t>
  </si>
  <si>
    <t>5.6.1</t>
  </si>
  <si>
    <t>Huấn luyện nâng cao nghiệp vụ khai thác trang thiết bị trên xe TKCN, vận hành thiết bị dò tìm hộp đen tàu bay trên biển và thực hành sử dụng công cụ dụng cụ TKCN hiện trường</t>
  </si>
  <si>
    <t>NV TTHĐ TKCN MB</t>
  </si>
  <si>
    <t>5.6.2</t>
  </si>
  <si>
    <t>Huấn luyện nâng cao xử lý tình huống tại vị trí làm việc</t>
  </si>
  <si>
    <t>5.6.3</t>
  </si>
  <si>
    <t>5.6.4</t>
  </si>
  <si>
    <t>Huấn luyện nâng cao công tác xử lý tình huống khẩn nguy tàu bay phục vụ công tác diễn tập tìm kiếm cứu nạn hàng không</t>
  </si>
  <si>
    <t xml:space="preserve">4 </t>
  </si>
  <si>
    <t>5.6.5</t>
  </si>
  <si>
    <t>Huấn luyện nâng cao nghiệp vụ khai thác trang thiết bị trên xe TKCN, vận hành thiết bị dò tìm hộp đen tàu bay trên biển và thực hành sử dụng công cụ, dụng cụ tìm kiếm cứu nạn hiện trường</t>
  </si>
  <si>
    <t>Qúy II, III</t>
  </si>
  <si>
    <t>5.6.6</t>
  </si>
  <si>
    <t>TT HĐ TKCNMN</t>
  </si>
  <si>
    <t>5.7</t>
  </si>
  <si>
    <t>Nội dung khác</t>
  </si>
  <si>
    <t>II.2</t>
  </si>
  <si>
    <t>An toàn, an ninh, chất lượng</t>
  </si>
  <si>
    <t>An toàn</t>
  </si>
  <si>
    <t>An ninh</t>
  </si>
  <si>
    <t>Chất lượng</t>
  </si>
  <si>
    <t>III.3</t>
  </si>
  <si>
    <t>ĐÀO TẠO-HUẤN LUYỆN NƯỚC NGOÀI</t>
  </si>
  <si>
    <t>Học viện HK Singapore</t>
  </si>
  <si>
    <t>2 tuần (17/3/2025 -28/3/2025)</t>
  </si>
  <si>
    <t>Theo KH của  TCT/TT ĐTHLNVQLB</t>
  </si>
  <si>
    <t>https://www.caas.gov.sg/saa/saa-programmes/programme-details/Search-and-Rescue-Administrators</t>
  </si>
  <si>
    <t>Aeronautical Search and Rescue Operations (Hoạt động TKCN hàng không)</t>
  </si>
  <si>
    <t>Search Area Calculation for SAR Operation (Tính toán khu vực tìm kiếm cho hoạt động TKCN)</t>
  </si>
  <si>
    <t>Học viện HK Malaysia</t>
  </si>
  <si>
    <t>Theo KH  TCT/TT ĐTHLNVQLB</t>
  </si>
  <si>
    <t>https://igat.icao.int/ated/TrainingCatalogue/Course/887</t>
  </si>
  <si>
    <t>Học viện HK Thailand</t>
  </si>
  <si>
    <t>https://www.catc.or.th/en/curriculum/sar-mission-coordinator-training-course/</t>
  </si>
  <si>
    <t>SAR International (TKCN quốc tế)</t>
  </si>
  <si>
    <t>Pháp</t>
  </si>
  <si>
    <t>https://training.enac.fr/catalog/detail/190</t>
  </si>
  <si>
    <t>Human Factors in Aviation (Yếu tố con người trong lĩnh vực HK)</t>
  </si>
  <si>
    <t>https://www.iata.org/en/training/courses/aviation-human-factors/tcvt05/en/</t>
  </si>
  <si>
    <t>Đào tạo, huấn luyện do chuyên gia nước ngoài giảng dạy tại Việt Nam</t>
  </si>
  <si>
    <t>NV HĐ TKCN MB, MN</t>
  </si>
  <si>
    <t xml:space="preserve">                                                          Đơn vị tính: 1.000 đồng</t>
  </si>
  <si>
    <t>1. Căn cứ xây dựng kế hoạch:</t>
  </si>
  <si>
    <t>- Căn cứ nhu cầu ĐTHL của Trung tâm</t>
  </si>
  <si>
    <t>- Kết quả thực hiện kế hoạch năm 2024</t>
  </si>
  <si>
    <t>- Đặc thù nhiệm vụ chuyên môn</t>
  </si>
  <si>
    <t>2. Tổng giá trị: 690.500.000đ</t>
  </si>
  <si>
    <t>- Đào tạo-huấn luyện trong nước dự kiến: 690.500.000đ</t>
  </si>
  <si>
    <t>- Đào tạo-huấn luyện tại nước ngoài: Theo KH của TCT/TT ĐTHLNVQLB</t>
  </si>
  <si>
    <t>Kinh phí đơn vị dự trù</t>
  </si>
  <si>
    <t>Huấn luyện công tác PCTT&amp;TKCN của TCT QLB VN</t>
  </si>
  <si>
    <t>BCH PCTT &amp;TKCN TCT</t>
  </si>
  <si>
    <t>Huấn luyện An toàn Vệ sinh lao động</t>
  </si>
  <si>
    <t>Qúy III</t>
  </si>
  <si>
    <t>Khóa đào tạo nghiệp vụ lương và chế độ chính sách</t>
  </si>
  <si>
    <t>Khóa bồi dưỡng nghiệp vụ bảo hiểm (BHXH, BHYT, BHTN….)</t>
  </si>
  <si>
    <t>Khóa huấn luyện về thuế Thu nhập cá nhân</t>
  </si>
  <si>
    <t>BGĐ TT</t>
  </si>
  <si>
    <t>Nguyễn Văn Dũng, Nguyễn Ngọc Quang</t>
  </si>
  <si>
    <t>Nguyễn Thành Tâm</t>
  </si>
  <si>
    <t xml:space="preserve">Quy hoạch HLV 
</t>
  </si>
  <si>
    <t xml:space="preserve">Nguyễn Đức Tùng, Nguyễn Viết Phú, Nguyễn Ngọc Anh </t>
  </si>
  <si>
    <t>NV Phòng Nghiệp vụ</t>
  </si>
  <si>
    <t>Quý I hoặc Qúy II</t>
  </si>
  <si>
    <t xml:space="preserve">Quý I hoặc Qúy II </t>
  </si>
  <si>
    <t>Quý I hoặc II; Quý III hoặc IV</t>
  </si>
  <si>
    <t>Quý III</t>
  </si>
  <si>
    <t xml:space="preserve">Quý IV </t>
  </si>
  <si>
    <t xml:space="preserve">Quý II hoặc Qúy III </t>
  </si>
  <si>
    <t>Qúy IV</t>
  </si>
  <si>
    <t>CB, NV  TT PH TKCN HK</t>
  </si>
  <si>
    <t>Nước uống</t>
  </si>
  <si>
    <t>Kỹ năng xây dựng kế hoạch ĐTHL</t>
  </si>
  <si>
    <t>Nghiệp vụ văn thư lưu trữ điện tử</t>
  </si>
  <si>
    <t xml:space="preserve">Nguyễn Thị Kim Tuyến, Trịnh Thị Thủy </t>
  </si>
  <si>
    <t>HCTH (06); NV (02); MB (01), MN (01)</t>
  </si>
  <si>
    <t>Huấn luyện viên ANS</t>
  </si>
  <si>
    <t>Trần Xuân Vinh, Phạm Thị Thanh Tuyền, Tạ Thu Thế, Ngô Trần Việt</t>
  </si>
  <si>
    <t>Các khóa ĐTHL dành cho GV/HLV (Phương pháp giảng dạy hiện đại; Ứng dụng CNTT trong thiết kế bài giảng; Phương pháp xây dựng chương trình, tài liệu đào tạo; Kỹ năng giảng dạy trực tuyến; Thiết kế bài giảng trực tuyến; Khởi tạo, thiết kế và quản lý khóa học trực tuyến; Phương pháp kiểm tra, đánh giá kết quả học tập...)</t>
  </si>
  <si>
    <t xml:space="preserve">GV/HLV, Quy hoạch GV/HLV 
</t>
  </si>
  <si>
    <t xml:space="preserve">Nguyễn Quyết Thắng, Hồ Thanh Thủy, Bùi Văn Vỹ, Trần Xuân Vinh, Phạm Thị Thanh Tuyền, Tạ Thu Thế, Ngô Trần Việt, Nguyễn Đức Tùng, Nguyễn Viết Phú, Nguyễn Ngọc Anh </t>
  </si>
  <si>
    <t>Kế hoạch tổng thể HKDD  (Civil Aviation Master Planning)</t>
  </si>
  <si>
    <r>
      <t xml:space="preserve">                              </t>
    </r>
    <r>
      <rPr>
        <sz val="10"/>
        <color theme="1"/>
        <rFont val="Times New Roman"/>
        <family val="1"/>
      </rPr>
      <t>ICAO (Canada); Công ty dịch vụ công nghệ HK United ATS (Ai Cập)</t>
    </r>
    <r>
      <rPr>
        <b/>
        <sz val="10"/>
        <color theme="1"/>
        <rFont val="Times New Roman"/>
        <family val="1"/>
      </rPr>
      <t xml:space="preserve">
</t>
    </r>
  </si>
  <si>
    <t xml:space="preserve"> </t>
  </si>
  <si>
    <t>ICAO Training - Civil Aviation Master Planning (CAMP EN)</t>
  </si>
  <si>
    <t>BGĐ, CB TT</t>
  </si>
  <si>
    <t>ICAO Training - Aeronautical Search and Rescue Operations</t>
  </si>
  <si>
    <t xml:space="preserve">CB, NV TT </t>
  </si>
  <si>
    <t>SAR Mission Coordinator Training Course (Khóa huấn luyện điều phối viên nhiệm vụ TKCN )</t>
  </si>
  <si>
    <t xml:space="preserve">CB, NV  TT </t>
  </si>
  <si>
    <t>CB  TT</t>
  </si>
  <si>
    <t>IATA (Mỹ, Thụy Sỹ)</t>
  </si>
  <si>
    <t>Đơn vị tính: 1.000 Đồng</t>
  </si>
  <si>
    <t>17</t>
  </si>
  <si>
    <t>Nghiệp vụ công tác thư ký</t>
  </si>
  <si>
    <t>Phụ lục 1.7.2: KẾ HOẠCH ĐÀO TẠO-HUẤN LUYỆN NĂM 2025</t>
  </si>
  <si>
    <t>0</t>
  </si>
  <si>
    <t>(Kèm theo Tờ trình số 820/TTr-TKCN ngày 04/11/2024 của Trung tâm Phối hợp tìm kiếm cứu nạn hàng không)</t>
  </si>
  <si>
    <t>Nhằm trang bị kiến thức, kỹ năng cần thiết nhằm ứng phó hiệu quả với các tình huống thiên tai và sự cố; Giúp nâng cao năng lực phối hợp và xử lý nhanh chóng trong các tình huống khẩn cấp; Củng cố khả năng đánh giá, giảm thiểu rủi ro và lập kế hoạch ứng phó thiên tai một cách chủ động và hiệu quả</t>
  </si>
  <si>
    <t>26</t>
  </si>
  <si>
    <t xml:space="preserve">Sẵn sàng ứng phó, triển khai lực lượng, phương tiện, trang thiết bị, công cụ dụng cụ tham gia công tác TKCN hiện trường;  Hạn chế thấp nhất thiệt hại về người, tài sản khi có tàu bay lâm nguy, lâm nạn xảy ra trong vùng trách nhiệm được giao. Phát huy hiệu quả toàn bộ nguồn lực của TCT QLBVN tham gia công tác TKCN hiện để thực thi nhiệm vụ TKCN hàng không một cách nhanh chóng, trách nhiệm và thực sự hiệu quả.   </t>
  </si>
  <si>
    <t xml:space="preserve"> Đội PCTT &amp;TKCN của các Công ty QLB MB, MT, MN và NV TT HĐ TKCN MB</t>
  </si>
  <si>
    <t>Nhằm nắm bắt, hiểu và thao tác những kỹ năng cơ bản về TKCN trên biển, những kỹ năng bơi, lặn, trục vớt và sơ cứu nạn nhân khi được cứu trên biển.  Để thực thi nhiệm vụ TKCN hàng không một cách nhanh chóng, trách nhiệm và thực sự hiệu quả, qua đó Phối hợp cùng các đơn vị khi tham gia TKCN trên biển.</t>
  </si>
  <si>
    <t>Để đảm bảo công tác An toàn lao động của đơn vị</t>
  </si>
  <si>
    <t>Bồi dưỡng nghiệp vụ  vụ lương và chế độ chính sách</t>
  </si>
  <si>
    <t xml:space="preserve">Bồi dưỡng nghiệp vụ  bảo hiểm </t>
  </si>
  <si>
    <t>Bồi  dưỡng nghiệp vụ  thuế Thu nhập cá nhân</t>
  </si>
  <si>
    <t>Bồi  dưỡng nghiệp vụ  xây dựng kế hoạch ĐTHL</t>
  </si>
  <si>
    <t>Bồi dưỡng nghiệp vụ  văn phòng</t>
  </si>
  <si>
    <t xml:space="preserve">Bồi dưỡng nghiệp vụ  </t>
  </si>
  <si>
    <t>Bồi dưỡng nghiệp vụ văn thư lưu trữ điện tử</t>
  </si>
  <si>
    <t>Bồi dưỡng nghiệp vụ đấu thầu</t>
  </si>
  <si>
    <t xml:space="preserve"> Trang bị  hệ thống, thực tiễn và hiện đại, toàn diện về chủ nghĩa Mác - Lênin, tư tưởng Hồ Chí Minh; quan điểm, chủ trương, đường lối của Đảng và chính sách, pháp luật của Nhà nước; nâng cao tầm nhìn, tư duy chiến lược;Nâng cao kỹ năng lãnh đạo, quản lý và vận dụng thực tiễn</t>
  </si>
  <si>
    <t xml:space="preserve">Nâng cao trình độ lý luận chính trị cho CB, NV </t>
  </si>
  <si>
    <t>Để đáp ứng đầy đủ yêu cầu về HLV của Cục Hàng không Việt Nam</t>
  </si>
  <si>
    <t>Bồi dưỡng nâng cao kiến thức cho GV/HLV, GV/HLV được quy hoạch</t>
  </si>
  <si>
    <t>31</t>
  </si>
  <si>
    <t>Chương trình đào tạo ban đầu để cấp chứng chỉ chuyên môn nhân viên hiệp đồng tìm kiếm, cứu nạn tại Trung tâm Phối hợp TKCN HK.</t>
  </si>
  <si>
    <t>Cập nhật định kỳ, phục vụ công tác thi năng định, cấp CCCM cho nhân viên hiệp đồng TKCN</t>
  </si>
  <si>
    <t>Rèn luyện khả năng thành thạo trong việc khai thác sử dụng trang thiết bị, công cụ, dụng cụ TKCN cho nhân viên TKCN hiện trường, đồng thời đánh giá sự chủ động trong việc nắm bắt, khai thác các thiết trang thiết bị của nhân viên TKCN hiện trường.</t>
  </si>
  <si>
    <t>Nâng cao khả năng ứng phó, xử lý và công tác phối hợp hiệp đồng với các đơn vị trong và ngoài TCT trong công tác ứng phó sự cố ứng phó khẩn nguy tàu bay</t>
  </si>
  <si>
    <t>Kịp thời  cập nhật, phổ biến, những thay đổi, bổ sung trong các văn bản, tài liệu của quốc tế và VN, văn bản hiệp đồng với các đơn vị trong và ngoài TCT  về công tác TKCN trong năm</t>
  </si>
  <si>
    <t>Nhằm tăng cường khả năng xử lý, phối hợp và triển khai lực lượng TKCN theo kịch bản diễn tập phục vụ tốt cho công tác tổ chức diễn tập</t>
  </si>
  <si>
    <t>Rèn luyện khả năng thành thạo trong việc khai thác sử dụng trang thiết bị, công cụ, dụng cụ TKCN cho nhân viên TKCN hiện trường, đồng thời đánh giá sự chủ động trong việc nắm bắt, khai thác các trang thiết bị của nhân viên TKCN hiện trường.</t>
  </si>
  <si>
    <t>Nhằm trang bị kiến thức chuẩn bị cho việc phát triển Kế hoạch tổng thể HKDD; Phát triểnKế hoạch tổng thể HKDD; Lên kế hoạch cho việc quản lý và vận hành Kế hoạch tổng thể HKDD ; Xác định các chiến lược đảm bảo sự phát triển bền vững về kinh tế và tài chính của hệ thống HKDD</t>
  </si>
  <si>
    <t>Search and Rescue Administrators (Quản lý công tác TKCN)</t>
  </si>
  <si>
    <t>Nhằm trang bị kiến thức về xây dựng chiến lược phát triển dịch vụ TKCN HKDD phù hợp với các Tiêu chuẩn và khuyến cáo thực hành của ICAO; Xác định các phương án tuyển dụng, đào tạo và kỹ thuật tối ưu để đáp ứng các tiêu chuẩn của ICAO</t>
  </si>
  <si>
    <t>Nhằm trang bị kiến thức về xác định giai đoạn khẩn nguy của tàu bay; Xác định vị trí ước tính của tàu bay; Chuẩn bị kế hoạch hành động TKCN; Phân bổ nguồn lực cho khu vực TKCN;Theo dõi tiến độ của các hoạt động TKCN; Đánh giá kết quả của các hoạt động TKCN</t>
  </si>
  <si>
    <t>Nhằm trang bị kiến thức về thu thập dữ liệu cần thiết;Tính độ trôi của dù và tàu bay; Tính tổng dòng chảy của nước; Xác định khu vực tìm kiếm</t>
  </si>
  <si>
    <t xml:space="preserve">Nhằm trang bị kiến thức về các hoạt động TKCN trên toàn cầu, bao gồm các mục tiêu chính, nguyên tắc và tầm quan trọng của hợp tác quốc tế; Nắm vững kiến thức và hiểu biết về hệ thống quản lý dữ liệu và tài liệu cho các hoạt động TKCN; Lập kế hoạch tìm kiếm bằng cách xem xét nhiều yếu tố khác nhau; Ước tính khu vực trong các tình huống khẩn nguy và dự đoán khu vực mà người sống sót có thể di chuyển sau sự cố, tính toán công sức tìm kiếm và xác định xác suất tìm kiếm. </t>
  </si>
  <si>
    <t>Nhằm trang bị kiến thức về Tổ chức Quốc tế TKCN cùng tất cả các thành phần và dịch vụ liên quan đến tổ chức TKCN</t>
  </si>
  <si>
    <t>Nhằm trang bị các khái niệm cơ bản về yếu tố con người trong lĩnh vực HK; Hiểu các vấn đề chính về hiệu suất con người liên quan đến hoạt động HK; Tích hợp kiến thức về yếu tố con người vào các lĩnh vực quan trọng trong hoạt động HK;
Áp dụng kiến thức về yếu tố con người trong hoạt động để phục vụ công tác điều tra an toàn</t>
  </si>
  <si>
    <t>Theo kế hoạch của TT ĐTHL NV QLB</t>
  </si>
  <si>
    <t>Theo kế hoạch của TCT/ TT ĐTHL NV QLB</t>
  </si>
  <si>
    <t>SMS cơ bản</t>
  </si>
  <si>
    <t>19</t>
  </si>
  <si>
    <t>Trung tâm HĐ TKCN MB</t>
  </si>
  <si>
    <t>HLV</t>
  </si>
  <si>
    <t>Khai giảng</t>
  </si>
  <si>
    <t>Dịch vụ thuê ngoài  (Tàu, thuyền...)</t>
  </si>
  <si>
    <t>Vé máy bay</t>
  </si>
  <si>
    <t>Kinh phí đào tạo (Học phí, chi phí tổ chức khóa học, chi phí bồi dưỡng GV, HLV, …)</t>
  </si>
  <si>
    <t>Kinh phí khác (Công tác phí, chi phí lưu trú, …)</t>
  </si>
  <si>
    <t>Nhân viên Trung tâm Phối hợp TKCN HK</t>
  </si>
  <si>
    <t>TT ĐTHL NV QLB</t>
  </si>
  <si>
    <t>37</t>
  </si>
  <si>
    <t>Nhóm 1: 7; Nhóm 3: 9; Nhóm 4: 19</t>
  </si>
  <si>
    <t>CB, NV TT PH TKCN HK</t>
  </si>
  <si>
    <t xml:space="preserve">CB, NV  TT PHTKCN HK </t>
  </si>
  <si>
    <t>Phòng HC-TH</t>
  </si>
  <si>
    <t>C</t>
  </si>
  <si>
    <t>ĐỀ XUẤT KẾ HOẠCH ĐÀO TẠO-HUẤN LUYỆN NĂM 2027</t>
  </si>
  <si>
    <t>Giáo viên, huấn luyện viên; Nguồn giáo viên, HLV</t>
  </si>
  <si>
    <t xml:space="preserve">Đào tạo nâng cao năng lực lãnh đạo, quản lý các cấp </t>
  </si>
  <si>
    <t>Thuê ngoài</t>
  </si>
  <si>
    <t>Tự thực hiện</t>
  </si>
  <si>
    <t>Trung tâm Phối hợp TKCN HK</t>
  </si>
  <si>
    <t>ĐÀO TẠO HUẤN LUYỆN TRONG NƯỚC (CÁC KHÓA CHUNG CHO TỔNG CÔNG TY) - TT ĐTHL THỰC HIỆN</t>
  </si>
  <si>
    <t>ĐÀO TẠO HUẤN LUYỆN TẠI NƯỚC NGOÀI VÀ DO GVNN GIẢNG DẠY TẠI VIỆT NAM - TT ĐTHL THỰC HIỆN</t>
  </si>
  <si>
    <t>Đào tạo huấn luyện tại nước ngoài</t>
  </si>
  <si>
    <t>D</t>
  </si>
  <si>
    <t>Nhân viên Trung tâm Hiệp đồng TKCN miền Bắc</t>
  </si>
  <si>
    <t xml:space="preserve">Trung tâm ĐTHL </t>
  </si>
  <si>
    <t>Trung tâm  Hiệp đồng TKCN miền Bắc</t>
  </si>
  <si>
    <t>Nơi đào tạo/ Cơ sở đào tạo dự kiến (hoặc đơn vị chủ trì)</t>
  </si>
  <si>
    <t xml:space="preserve">Huấn luyện định kỳ </t>
  </si>
  <si>
    <t>Nhân viên Trung tâm Hiệp đồng TKCN miền Nam</t>
  </si>
  <si>
    <t>Trung tâm  Hiệp đồng TKCN miền Nam</t>
  </si>
  <si>
    <t xml:space="preserve">  </t>
  </si>
  <si>
    <t>Nhân viên Trung tâm Hiệp đồng TKCN miền Bắc, miền Nam</t>
  </si>
  <si>
    <t>44</t>
  </si>
  <si>
    <t>960 tiết (120 ngày)</t>
  </si>
  <si>
    <t>Huấn luyện nâng cao xử lý tình huống khẩn nguy tàu bay phục vụ công tác diễn tập tìm kiếm cứu nạn hàng không 2027</t>
  </si>
  <si>
    <t xml:space="preserve">NV: 01;
MB: 02;
MN: 01
</t>
  </si>
  <si>
    <t>8 tiết/năm (HCTH: 3)
300k/giờ</t>
  </si>
  <si>
    <t>GĐ</t>
  </si>
  <si>
    <t>Tháng 5</t>
  </si>
  <si>
    <t>Người lao động các nhóm theo quy định; người làm công tác ATVSLĐ</t>
  </si>
  <si>
    <t>Luật An toàn, vệ sinh lao động 84/2015/QH13 Điều 14; NĐ 44/2016/NĐ-CP (sđ, bs bởi NĐ 140/2018) (huấn luyện ATVSLĐ) Điều 17-19 (6 nhóm đối tượng).
► Bắt buộc theo quy phạm pháp luật.</t>
  </si>
  <si>
    <t>Sau khi hoàn thành khoá CCCM</t>
  </si>
  <si>
    <t>120</t>
  </si>
  <si>
    <t>Tháng 6</t>
  </si>
  <si>
    <t>Huấn luyện lần đầu tại vị trí làm việc</t>
  </si>
  <si>
    <t>580</t>
  </si>
  <si>
    <t>380</t>
  </si>
  <si>
    <t>40</t>
  </si>
  <si>
    <t xml:space="preserve">LT+TH
(150k/tiết) </t>
  </si>
  <si>
    <t>OJTI (40k/tiết)</t>
  </si>
  <si>
    <t>VPP</t>
  </si>
  <si>
    <t>Sổ ghi chép A5 (15k/quyển)</t>
  </si>
  <si>
    <t>Bút viết bảng TL W03 (10k)</t>
  </si>
  <si>
    <t>In chứng nhận (6k/tờ)</t>
  </si>
  <si>
    <t>Photo tai liệu (20k/bộ)</t>
  </si>
  <si>
    <t>Bút viết Thiên Long TL-036 (10k)</t>
  </si>
  <si>
    <t>Công tác phí (300k/ng/ngày)</t>
  </si>
  <si>
    <t>Kinh phí tạm tính</t>
  </si>
  <si>
    <t>Khóa hướng dẫn xây dựng văn bản hiệp đồng TKCN, quy định, quy trình TKCN</t>
  </si>
  <si>
    <t>Nhân viên Phòng Nghiệp vụ</t>
  </si>
  <si>
    <t>MB: 02;
MN: 01;
NV: 02</t>
  </si>
  <si>
    <t xml:space="preserve">Khóa đào tạo và trang bị kiến thức cho cán bộ, nhân viên quản lý và tổ chức đào tạo (Xây dựng kế hoạch ĐTHL…) </t>
  </si>
  <si>
    <t>Khóa đào tạo nghiệp vụ quản lý nhân sự; tiền lương; chế độ chính sách, bảo hiểm (BHXH, BHYT, BHTN….); thuế thu nhập cá nhân…</t>
  </si>
  <si>
    <t>Khóa đào tạo nghiệp vụ hành chính văn phòng (thư ký, văn thư lưu trữ…)</t>
  </si>
  <si>
    <t>Khóa đào tạo giáo viên đáp ứng yêu cầu, tiêu chuẩn chức danh và quy định (Nghiệp vụ sư phạm; Chứng chỉ huấn luyện viên, Phương pháp giảng dạy hiện đại; Ứng dụng CNTT trong thiết kế bài giảng; Phương pháp xây dựng chương trình, tài liệu đào tạo; Kỹ năng giảng dạy trực tuyến; Thiết kế bài giảng trực tuyến; Khởi tạo, thiết kế và quản lý khóa học trực tuyến; Phương pháp kiểm tra, đánh giá kết quả học tập..…)</t>
  </si>
  <si>
    <t>Đào tạo ban đầu cấp Chứng chỉ chuyên môn (TKCN)</t>
  </si>
  <si>
    <t>Huấn luyện định kỳ kiến thức ANHK cho nhân viên ANS</t>
  </si>
  <si>
    <t>3 năm 1 lần 
Thông tư 110/2026/TT-BCA Điều 28 khoản 3 (chương trình đào tạo ban đầu nhân viên bảo đảm hoạt động bay – 16 tiết; đối tượng: NV không lưu, thông báo tin tức HK, CNS, khí tượng, SAR); KH 6307/KH-QLB; NĐ 215/2026/NĐ-CP.
► Kiến thức ANHK bắt buộc cho NV ANS – giữ tại Trung tâm. Thay thế TT 34/2022/TT-BGTVT.</t>
  </si>
  <si>
    <t>SMS nâng cao</t>
  </si>
  <si>
    <t>Cán bộ, nhân viên thực hiện chức năng, nhiệm vụ liên quan đến quản lý đảm bảo an toàn chưa được tham gia đào tạo, huấn luyện SMS nâng cao</t>
  </si>
  <si>
    <t>Chương trình bồi dưỡng cán bộ quản lý</t>
  </si>
  <si>
    <t xml:space="preserve">Cán bộ quản lý cấp Phòng/Trung tâm và nguồn quy hoạch </t>
  </si>
  <si>
    <t>Cán bộ/nhân viên làm công tác an toàn, chất lượng</t>
  </si>
  <si>
    <t xml:space="preserve">Khóa Quản lý chất lượng theo tiêu chuẩn ISO 9001:2015; Khóa chuyên sâu Hệ thống quản lý chất lượng (QMS); nhận diện mối nguy, đánh giá và kiểm soát rủi ro </t>
  </si>
  <si>
    <t>Tiếng Anh chuyên ngành TKCN</t>
  </si>
  <si>
    <t xml:space="preserve"> Giáo viên, đánh giá viên, người làm công tác đào tạo</t>
  </si>
  <si>
    <t>Lý luận chính trị (Cao cấp/Trung cấp)</t>
  </si>
  <si>
    <t xml:space="preserve">Lãnh đạo, cán bộ quản lý các cấp và nguồn quy hoạch </t>
  </si>
  <si>
    <t>Bồi dưỡng kiến thức quốc phòng, an ninh</t>
  </si>
  <si>
    <t>Khóa đào tạo nghiệp vụ tài chính doanh nghiệp; kiểm toán nội bộ - quản trị rủi ro</t>
  </si>
  <si>
    <t>MN: 03;
NV: 03</t>
  </si>
  <si>
    <t xml:space="preserve">Nhóm 1: 6; 
Nhóm 2: 1; 
Nhóm 3: 16
Nhóm 4: 19;
Nhóm 6: 2 </t>
  </si>
  <si>
    <t>24 tiết/năm (NV: 2; MB: 1)
300k/giờ</t>
  </si>
  <si>
    <t>8 tiết/năm (400k/giờ) (PGĐ Nam, Hùng)</t>
  </si>
  <si>
    <t>16 tiết/năm (400k/giờ) (GĐ + PGĐ Quang)</t>
  </si>
  <si>
    <t>Trước khi diễn tập SAREX 2027</t>
  </si>
  <si>
    <t>https://igat.icao.int/ated/TrainingCatalogue/Course/6305</t>
  </si>
  <si>
    <t>Theo KH của  TCT/TT ĐTHL</t>
  </si>
  <si>
    <t>Nghiệp vụ phòng chống thiên tai: Khóa tập huấn PCTT&amp;TKCN; Khóa đào tạo bồi dưỡng kỹ năng nghiệp vụ chuyên ngành PCTT; Chuyên đề kỹ năng PCTT ….</t>
  </si>
  <si>
    <t>Nghiệp vụ phòng cháy chữa cháy: Khóa huấn luyện nghiệp vụ PCCC&amp;CNCH cho người được phân công kiểm tra công tác PCCC tại cơ sở (hàng năm/5năm một lần); Khóa huấn luyện nghiệp vụ PCC&amp;CNCH; Khóa bồi dưỡng kiến thức về PCCC; Khóa học tư vấn kiểm tra, kiểm định kỹ thuật PCCC…</t>
  </si>
  <si>
    <t>ĐÀO TẠO-HUẤN LUYỆN TRONG NƯỚC - ĐƠN VỊ THỰC HIỆN</t>
  </si>
  <si>
    <t>Ban Giám đốc</t>
  </si>
  <si>
    <t>Nhân viên đã huấn luyện định kỳ đến hạn</t>
  </si>
  <si>
    <t xml:space="preserve">Cán bộ, nhân viên được phân công nhiệm vụ PCTT </t>
  </si>
  <si>
    <t xml:space="preserve">Cán bộ, nhân viên được phân công kiểm tra công tác PCCC </t>
  </si>
  <si>
    <t>Cán bộ, nhân viên  làm công tác tham mưu hoặc trực tiếp tổ chức, quản lý về ĐTHL</t>
  </si>
  <si>
    <t>Cán bộ, nhân viên  làm công tác nhân sự, tiền lương</t>
  </si>
  <si>
    <t>Cán bộ, nhân viên  làm công tác tài chính</t>
  </si>
  <si>
    <t>Cán bộ, nhân viên  Trung tâm Phối hợp TKCN HK</t>
  </si>
  <si>
    <t>Theo kế hoạch của Ban chỉ đạo Phòng thủ dân sự quốc gia</t>
  </si>
  <si>
    <t>Trung tâm Quốc gia huấn luyện TKCN đường không</t>
  </si>
  <si>
    <t>Huấn luyện cán bộ tham mưu mặt đất, phối hợp TKCN đường không</t>
  </si>
  <si>
    <t>Cán bộ Trung tâm Phối hợp TKCN HK</t>
  </si>
  <si>
    <t>Trung tâm Quốc gia huấn luyện TKCN đường biển</t>
  </si>
  <si>
    <t>Huấn luyện nhân viên TKCN đường không</t>
  </si>
  <si>
    <t xml:space="preserve">Huấn luyện nhân viên TKCN đường biển </t>
  </si>
  <si>
    <t>Phòng Nghiệp vụ và Trung tâm Hiệp đồng TKCN miền Bắc</t>
  </si>
  <si>
    <t>Nhân  viên phòng HC-TH</t>
  </si>
  <si>
    <t>745 tiết : NV: 01 (Minh Quang)</t>
  </si>
  <si>
    <t>Cán bộ, nhân viên  làm công tác quản trị văn phòng</t>
  </si>
  <si>
    <t>Khóa đào tạo về CBTA cho giáo viên, đánh giá viên, người làm công tác đào tạo</t>
  </si>
  <si>
    <t>Towards the Digital Aviation for ANS Managers workshop (Tiến tới hàng không dạng số cho lãnh đạo ANS)</t>
  </si>
  <si>
    <t>Safety Management: Air Navigation Services Provider (Quản lý An toàn cho nhà cung cấp dịch vụ bảo đảm hoạt động bay)</t>
  </si>
  <si>
    <t>Lãnh đạo/cán bộ Trung tâm</t>
  </si>
  <si>
    <t>Train the trainer in Human factor/Human performance training course (Khóa huấn luyện Giáo viên giảng dạy yếu tố con người, hiệu suất/năng lực con người trong lĩnh vực ANS)</t>
  </si>
  <si>
    <t>Giáo viên/người làm công tác ĐTHL</t>
  </si>
  <si>
    <t xml:space="preserve"> Khóa Định hướng chiến lược và lập kế hoạch HKDD (Planning and Strategic Direction in Civil Aviation) - IATA, Thụy Sỹ</t>
  </si>
  <si>
    <t>IATA - Thụy Sỹ</t>
  </si>
  <si>
    <t>ENAC, Pháp</t>
  </si>
  <si>
    <t xml:space="preserve">Huấn luyện dành cho người quản lý đào tạo - nghiệp vụ (Training Managers Course - Operation) </t>
  </si>
  <si>
    <t xml:space="preserve"> ICAO, Canada</t>
  </si>
  <si>
    <t>Entry Point North - Thụy Điển/Tây Ban Nha</t>
  </si>
  <si>
    <t>SAR Mission Coordinator (SMC) (Công tác phối hợp hiệp đồng nhiệm vụ TKCN HK)</t>
  </si>
  <si>
    <t>Cán bộ, nhân viên trực tiếp làm công tác an toàn</t>
  </si>
  <si>
    <t>Giáo viên/HLV</t>
  </si>
  <si>
    <t>Training Developers Course (Khóa học dành cho người phát triển đào tạo)</t>
  </si>
  <si>
    <t>Nhân sự tham gia các Tiểu ban CBTA</t>
  </si>
  <si>
    <t xml:space="preserve">Huấn luyện nâng cao về công tác an toàn hàng không </t>
  </si>
  <si>
    <t>JAA TO, Hà Lan</t>
  </si>
  <si>
    <t>HVHK Hồng Kông</t>
  </si>
  <si>
    <t>IATA, Singapore</t>
  </si>
  <si>
    <t>HVHK Singapore</t>
  </si>
  <si>
    <t>Giám sát đào tạo dựa trên năng lực (Oversight of Competency-based Training)</t>
  </si>
  <si>
    <t>Trend and development Orientations for ANS provider (Khóa chuyên đề về xu thế và định hướng phát triển của doanh nghiệp BĐHĐB)</t>
  </si>
  <si>
    <t xml:space="preserve">CANI, Cộng hòa Séc </t>
  </si>
  <si>
    <t>Huấn luyện lực lượng TKCN hiện trường  (theo khu vực)</t>
  </si>
  <si>
    <t>Tháng 3,5 6,9,10</t>
  </si>
  <si>
    <t>Nhân viên TKCN hiện trường khu vực Bắc, Trung, Nam (gồm lực lượng của Trung tâm Phối hợp TKCN HK và các Công ty QLB khu vực)</t>
  </si>
  <si>
    <t>Trung tâm  Hiệp đồng TKCN miền Bắc, Nam</t>
  </si>
  <si>
    <t>75</t>
  </si>
  <si>
    <t>Khóa huấn luyện chuyên môn TKCN</t>
  </si>
  <si>
    <t>Khóa huấn luyện Quản trị nội bộ lĩnh vực Kế hoạch đầu tư</t>
  </si>
  <si>
    <t xml:space="preserve">Khóa huấn luyện Quản trị nội bộ lĩnh vực Hành chính văn phòng </t>
  </si>
  <si>
    <t>Nhân  viên Phòng HC-TH</t>
  </si>
  <si>
    <t>(Kèm theo công văn số         /TKCN-HCTH ngày           /9/2026)</t>
  </si>
  <si>
    <t>Lãnh đạo/cán bộ các đối tượng theo phân loại</t>
  </si>
  <si>
    <t>Ngô Trần Việt</t>
  </si>
  <si>
    <t xml:space="preserve">Chuyển đổi số và AI : Khóa đào tạo Ứng dụng trí tuệ nhân tạo (AI) nâng cao hiệu quả công việc; Khóa phát triển tư duy đổi mới linh hoạt trong chuyển đổi số; Khóa đào tạo quản lý rủi ro và yếu tố con người trong chuyển đổi số: </t>
  </si>
  <si>
    <t>ĐÀO TẠO HUẤN LUYỆN KHOA HỌC CÔNG NGHỆ</t>
  </si>
  <si>
    <t>OJTI and Assessor Initial Training Course (Đào tạo ban đầu HL viên HL tại vị trí làm việc và đánh giá viên đào tạo, huấn luyện lĩnh vực ANS)</t>
  </si>
  <si>
    <t>Khóa học dành cho giáo viên/HLV (Training Instructor Couse)</t>
  </si>
  <si>
    <t>Airways, New Zealand</t>
  </si>
  <si>
    <t>Phụ lục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</si>
</sst>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5" formatCode="&quot;$&quot;#,##0_);\(&quot;$&quot;#,##0\)"/>
    <numFmt numFmtId="43" formatCode="_(* #,##0.00_);_(* \(#,##0.00\);_(* &quot;-&quot;??_);_(@_)"/>
    <numFmt numFmtId="164" formatCode="_-* #,##0.00_-;\-* #,##0.00_-;_-* &quot;-&quot;??_-;_-@_-"/>
    <numFmt numFmtId="165" formatCode="_ * #,##0.00_)_$_ ;_ * \(#,##0.00\)_$_ ;_ * &quot;-&quot;??_)_$_ ;_ @_ "/>
    <numFmt numFmtId="166" formatCode="\$#,##0\ ;\(\$#,##0\)"/>
    <numFmt numFmtId="167" formatCode="&quot;\&quot;#,##0;[Red]&quot;\&quot;&quot;\&quot;\-#,##0"/>
    <numFmt numFmtId="168" formatCode="&quot;\&quot;#,##0.00;[Red]&quot;\&quot;&quot;\&quot;&quot;\&quot;&quot;\&quot;&quot;\&quot;&quot;\&quot;\-#,##0.00"/>
    <numFmt numFmtId="169" formatCode="&quot;\&quot;#,##0;[Red]&quot;\&quot;\-#,##0"/>
    <numFmt numFmtId="170" formatCode="&quot;\&quot;#,##0.00;[Red]&quot;\&quot;\-#,##0.00"/>
    <numFmt numFmtId="171" formatCode="_-* #,##0\ &quot;DM&quot;_-;\-* #,##0\ &quot;DM&quot;_-;_-* &quot;-&quot;\ &quot;DM&quot;_-;_-@_-"/>
    <numFmt numFmtId="172" formatCode="_-* #,##0\ _D_M_-;\-* #,##0\ _D_M_-;_-* &quot;-&quot;\ _D_M_-;_-@_-"/>
    <numFmt numFmtId="173" formatCode="_-* #,##0.00\ &quot;DM&quot;_-;\-* #,##0.00\ &quot;DM&quot;_-;_-* &quot;-&quot;??\ &quot;DM&quot;_-;_-@_-"/>
    <numFmt numFmtId="174" formatCode="_-* #,##0.00\ _D_M_-;\-* #,##0.00\ _D_M_-;_-* &quot;-&quot;??\ _D_M_-;_-@_-"/>
    <numFmt numFmtId="175" formatCode="#."/>
    <numFmt numFmtId="177" formatCode="&quot;VND&quot;#,##0_);[Red]\(&quot;VND&quot;#,##0\)"/>
    <numFmt numFmtId="178" formatCode="#,##0\ &quot;FB&quot;;\-#,##0\ &quot;FB&quot;"/>
    <numFmt numFmtId="179" formatCode="_-* #,##0.00\ _€_-;\-* #,##0.00\ _€_-;_-* &quot;-&quot;??\ _€_-;_-@_-"/>
    <numFmt numFmtId="180" formatCode="_(* #,##0_);_(* \(#,##0\);_(* &quot;-&quot;??_);_(@_)"/>
    <numFmt numFmtId="182" formatCode="_-* #,##0.00\ _₫_-;\-* #,##0.00\ _₫_-;_-* &quot;-&quot;??\ _₫_-;_-@_-"/>
  </numFmts>
  <fonts count="85">
    <font>
      <sz val="12"/>
      <name val=".VnTime"/>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name val=".VnTime"/>
      <family val="2"/>
    </font>
    <font>
      <sz val="13"/>
      <name val=".VnTime"/>
      <family val="2"/>
    </font>
    <font>
      <b/>
      <sz val="12"/>
      <name val=".VnTime"/>
      <family val="2"/>
    </font>
    <font>
      <sz val="10"/>
      <name val=".VnTime"/>
      <family val="2"/>
    </font>
    <font>
      <sz val="12"/>
      <name val=".VnTime"/>
      <family val="2"/>
    </font>
    <font>
      <b/>
      <sz val="10"/>
      <name val=".VnTime"/>
      <family val="2"/>
    </font>
    <font>
      <sz val="10"/>
      <name val="Arial"/>
      <family val="2"/>
    </font>
    <font>
      <sz val="10"/>
      <name val="Arial"/>
      <family val="2"/>
    </font>
    <font>
      <sz val="9"/>
      <name val=".VnTime"/>
      <family val="2"/>
    </font>
    <font>
      <sz val="14"/>
      <name val="??"/>
      <family val="3"/>
      <charset val="129"/>
    </font>
    <font>
      <sz val="10"/>
      <name val="???"/>
      <family val="3"/>
      <charset val="129"/>
    </font>
    <font>
      <b/>
      <sz val="18"/>
      <name val="Arial"/>
      <family val="2"/>
    </font>
    <font>
      <b/>
      <sz val="12"/>
      <name val="Arial"/>
      <family val="2"/>
    </font>
    <font>
      <sz val="14"/>
      <name val="뼻뮝"/>
      <family val="3"/>
      <charset val="129"/>
    </font>
    <font>
      <sz val="12"/>
      <name val="뼻뮝"/>
      <family val="1"/>
      <charset val="129"/>
    </font>
    <font>
      <sz val="12"/>
      <name val="바탕체"/>
      <family val="1"/>
      <charset val="129"/>
    </font>
    <font>
      <sz val="10"/>
      <name val="굴림체"/>
      <family val="3"/>
      <charset val="129"/>
    </font>
    <font>
      <b/>
      <sz val="1"/>
      <color indexed="8"/>
      <name val="Courier"/>
      <family val="3"/>
    </font>
    <font>
      <sz val="10"/>
      <name val="Times New Roman"/>
      <family val="1"/>
    </font>
    <font>
      <b/>
      <sz val="12"/>
      <name val="Times New Roman"/>
      <family val="1"/>
    </font>
    <font>
      <sz val="12"/>
      <name val="Times New Roman"/>
      <family val="1"/>
    </font>
    <font>
      <sz val="13"/>
      <name val="Times New Roman"/>
      <family val="1"/>
    </font>
    <font>
      <i/>
      <sz val="12"/>
      <name val="Times New Roman"/>
      <family val="1"/>
    </font>
    <font>
      <sz val="11"/>
      <name val="Times New Roman"/>
      <family val="1"/>
    </font>
    <font>
      <sz val="12"/>
      <color indexed="9"/>
      <name val=".VnTime"/>
      <family val="2"/>
    </font>
    <font>
      <sz val="12"/>
      <name val=".VnTime"/>
      <family val="2"/>
    </font>
    <font>
      <b/>
      <sz val="18"/>
      <color indexed="56"/>
      <name val="Cambria"/>
      <family val="2"/>
    </font>
    <font>
      <sz val="12"/>
      <color indexed="8"/>
      <name val=".vntime"/>
      <family val="2"/>
    </font>
    <font>
      <sz val="10"/>
      <name val="Arial"/>
      <family val="2"/>
      <charset val="163"/>
    </font>
    <font>
      <sz val="12"/>
      <name val="¹UAAA¼"/>
      <family val="3"/>
      <charset val="129"/>
    </font>
    <font>
      <sz val="12"/>
      <color indexed="20"/>
      <name val=".VnTime"/>
      <family val="2"/>
    </font>
    <font>
      <b/>
      <sz val="12"/>
      <color indexed="52"/>
      <name val=".VnTime"/>
      <family val="2"/>
    </font>
    <font>
      <b/>
      <sz val="12"/>
      <color indexed="9"/>
      <name val=".VnTime"/>
      <family val="2"/>
    </font>
    <font>
      <i/>
      <sz val="12"/>
      <color indexed="23"/>
      <name val=".VnTime"/>
      <family val="2"/>
    </font>
    <font>
      <sz val="12"/>
      <color indexed="17"/>
      <name val=".VnTime"/>
      <family val="2"/>
    </font>
    <font>
      <b/>
      <sz val="11"/>
      <color indexed="56"/>
      <name val=".VnTime"/>
      <family val="2"/>
    </font>
    <font>
      <sz val="12"/>
      <color indexed="62"/>
      <name val=".VnTime"/>
      <family val="2"/>
    </font>
    <font>
      <sz val="12"/>
      <color indexed="52"/>
      <name val=".VnTime"/>
      <family val="2"/>
    </font>
    <font>
      <sz val="12"/>
      <color indexed="60"/>
      <name val=".VnTime"/>
      <family val="2"/>
    </font>
    <font>
      <sz val="10"/>
      <name val="VNtimes new roman"/>
      <family val="2"/>
    </font>
    <font>
      <b/>
      <sz val="12"/>
      <color indexed="63"/>
      <name val=".VnTime"/>
      <family val="2"/>
    </font>
    <font>
      <sz val="12"/>
      <color indexed="10"/>
      <name val=".VnTime"/>
      <family val="2"/>
    </font>
    <font>
      <sz val="10"/>
      <name val="Times New Roman"/>
      <family val="1"/>
      <charset val="163"/>
    </font>
    <font>
      <i/>
      <sz val="13"/>
      <name val="Times New Roman"/>
      <family val="1"/>
    </font>
    <font>
      <sz val="12"/>
      <name val="Cambria"/>
      <family val="1"/>
      <scheme val="major"/>
    </font>
    <font>
      <b/>
      <sz val="11"/>
      <color theme="1"/>
      <name val="Times New Roman"/>
      <family val="1"/>
    </font>
    <font>
      <sz val="11"/>
      <color theme="1"/>
      <name val="Arial"/>
      <family val="2"/>
    </font>
    <font>
      <b/>
      <sz val="13"/>
      <name val="Times New Roman"/>
      <family val="1"/>
    </font>
    <font>
      <sz val="8"/>
      <name val=".VnTime"/>
    </font>
    <font>
      <sz val="11"/>
      <color theme="1"/>
      <name val="Times New Roman"/>
      <family val="1"/>
    </font>
    <font>
      <b/>
      <sz val="14"/>
      <color theme="1"/>
      <name val="Times New Roman"/>
      <family val="1"/>
    </font>
    <font>
      <sz val="14"/>
      <color theme="1"/>
      <name val="Times New Roman"/>
      <family val="1"/>
    </font>
    <font>
      <sz val="11"/>
      <color rgb="FF000000"/>
      <name val="Calibri"/>
      <family val="2"/>
    </font>
    <font>
      <u/>
      <sz val="12"/>
      <color theme="10"/>
      <name val=".VnTime"/>
    </font>
    <font>
      <i/>
      <sz val="14"/>
      <color theme="1"/>
      <name val="Times New Roman"/>
      <family val="1"/>
    </font>
    <font>
      <sz val="10"/>
      <color rgb="FF000000"/>
      <name val="Arial"/>
      <family val="2"/>
    </font>
    <font>
      <b/>
      <sz val="13"/>
      <color rgb="FF000000"/>
      <name val="Times New Roman"/>
      <family val="1"/>
    </font>
    <font>
      <sz val="13"/>
      <color rgb="FF000000"/>
      <name val="Times New Roman"/>
      <family val="1"/>
    </font>
    <font>
      <sz val="13"/>
      <name val=".VnTime"/>
    </font>
    <font>
      <b/>
      <sz val="10"/>
      <name val="Times New Roman"/>
      <family val="1"/>
    </font>
    <font>
      <i/>
      <sz val="10"/>
      <name val="Times New Roman"/>
      <family val="1"/>
    </font>
    <font>
      <sz val="10"/>
      <color theme="1"/>
      <name val="Times New Roman"/>
      <family val="1"/>
    </font>
    <font>
      <b/>
      <sz val="10"/>
      <color theme="1"/>
      <name val="Times New Roman"/>
      <family val="1"/>
    </font>
    <font>
      <b/>
      <sz val="13"/>
      <color theme="1"/>
      <name val="Times New Roman"/>
      <family val="1"/>
    </font>
    <font>
      <b/>
      <sz val="10"/>
      <color rgb="FFFF0000"/>
      <name val="Times New Roman"/>
      <family val="1"/>
    </font>
    <font>
      <sz val="10"/>
      <color rgb="FFFF0000"/>
      <name val="Times New Roman"/>
      <family val="1"/>
    </font>
    <font>
      <b/>
      <i/>
      <sz val="10"/>
      <color theme="1"/>
      <name val="Times New Roman"/>
      <family val="1"/>
    </font>
    <font>
      <b/>
      <i/>
      <sz val="10"/>
      <name val="Times New Roman"/>
      <family val="1"/>
    </font>
    <font>
      <i/>
      <sz val="10"/>
      <color theme="1"/>
      <name val="Times New Roman"/>
      <family val="1"/>
    </font>
    <font>
      <u/>
      <sz val="10"/>
      <color theme="10"/>
      <name val="Times New Roman"/>
      <family val="1"/>
    </font>
    <font>
      <i/>
      <sz val="13"/>
      <color theme="1"/>
      <name val="Times New Roman"/>
      <family val="1"/>
    </font>
    <font>
      <i/>
      <sz val="10"/>
      <color rgb="FFFF0000"/>
      <name val="Times New Roman"/>
      <family val="1"/>
    </font>
    <font>
      <sz val="10"/>
      <color rgb="FF212529"/>
      <name val="Times New Roman"/>
      <family val="1"/>
    </font>
    <font>
      <sz val="12"/>
      <name val="Times New Roman"/>
      <family val="1"/>
      <charset val="163"/>
    </font>
    <font>
      <b/>
      <sz val="12"/>
      <name val="Times New Roman"/>
      <family val="1"/>
      <charset val="163"/>
    </font>
    <font>
      <sz val="12"/>
      <name val="Times New Roman"/>
      <family val="1"/>
      <charset val="1"/>
    </font>
    <font>
      <u/>
      <sz val="12"/>
      <name val="Times New Roman"/>
      <family val="1"/>
    </font>
    <font>
      <u/>
      <sz val="12"/>
      <name val=".VnTime"/>
    </font>
  </fonts>
  <fills count="2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gray125">
        <fgColor indexed="35"/>
      </patternFill>
    </fill>
    <fill>
      <patternFill patternType="solid">
        <fgColor theme="0"/>
        <bgColor indexed="64"/>
      </patternFill>
    </fill>
    <fill>
      <patternFill patternType="solid">
        <fgColor rgb="FFFFFFFF"/>
        <bgColor indexed="64"/>
      </patternFill>
    </fill>
    <fill>
      <patternFill patternType="solid">
        <fgColor theme="9" tint="0.79998168889431442"/>
        <bgColor indexed="64"/>
      </patternFill>
    </fill>
    <fill>
      <patternFill patternType="solid">
        <fgColor theme="7" tint="0.79998168889431442"/>
        <bgColor indexed="64"/>
      </patternFill>
    </fill>
  </fills>
  <borders count="1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double">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166">
    <xf numFmtId="0" fontId="0" fillId="0" borderId="0"/>
    <xf numFmtId="168" fontId="13" fillId="0" borderId="0" applyFont="0" applyFill="0" applyBorder="0" applyAlignment="0" applyProtection="0"/>
    <xf numFmtId="0" fontId="16" fillId="0" borderId="0" applyFont="0" applyFill="0" applyBorder="0" applyAlignment="0" applyProtection="0"/>
    <xf numFmtId="167" fontId="13" fillId="0" borderId="0" applyFont="0" applyFill="0" applyBorder="0" applyAlignment="0" applyProtection="0"/>
    <xf numFmtId="40" fontId="16" fillId="0" borderId="0" applyFont="0" applyFill="0" applyBorder="0" applyAlignment="0" applyProtection="0"/>
    <xf numFmtId="38" fontId="16" fillId="0" borderId="0" applyFont="0" applyFill="0" applyBorder="0" applyAlignment="0" applyProtection="0"/>
    <xf numFmtId="10" fontId="13" fillId="0" borderId="0" applyFont="0" applyFill="0" applyBorder="0" applyAlignment="0" applyProtection="0"/>
    <xf numFmtId="0" fontId="17" fillId="0" borderId="0"/>
    <xf numFmtId="0" fontId="34" fillId="2" borderId="0" applyNumberFormat="0" applyBorder="0" applyAlignment="0" applyProtection="0"/>
    <xf numFmtId="0" fontId="34" fillId="3" borderId="0" applyNumberFormat="0" applyBorder="0" applyAlignment="0" applyProtection="0"/>
    <xf numFmtId="0" fontId="34" fillId="4" borderId="0" applyNumberFormat="0" applyBorder="0" applyAlignment="0" applyProtection="0"/>
    <xf numFmtId="0" fontId="34" fillId="5" borderId="0" applyNumberFormat="0" applyBorder="0" applyAlignment="0" applyProtection="0"/>
    <xf numFmtId="0" fontId="34" fillId="6" borderId="0" applyNumberFormat="0" applyBorder="0" applyAlignment="0" applyProtection="0"/>
    <xf numFmtId="0" fontId="34" fillId="7" borderId="0" applyNumberFormat="0" applyBorder="0" applyAlignment="0" applyProtection="0"/>
    <xf numFmtId="0" fontId="34" fillId="8" borderId="0" applyNumberFormat="0" applyBorder="0" applyAlignment="0" applyProtection="0"/>
    <xf numFmtId="0" fontId="34" fillId="9" borderId="0" applyNumberFormat="0" applyBorder="0" applyAlignment="0" applyProtection="0"/>
    <xf numFmtId="0" fontId="34" fillId="10" borderId="0" applyNumberFormat="0" applyBorder="0" applyAlignment="0" applyProtection="0"/>
    <xf numFmtId="0" fontId="34" fillId="5" borderId="0" applyNumberFormat="0" applyBorder="0" applyAlignment="0" applyProtection="0"/>
    <xf numFmtId="0" fontId="34" fillId="8" borderId="0" applyNumberFormat="0" applyBorder="0" applyAlignment="0" applyProtection="0"/>
    <xf numFmtId="0" fontId="34" fillId="11" borderId="0" applyNumberFormat="0" applyBorder="0" applyAlignment="0" applyProtection="0"/>
    <xf numFmtId="0" fontId="31" fillId="12" borderId="0" applyNumberFormat="0" applyBorder="0" applyAlignment="0" applyProtection="0"/>
    <xf numFmtId="0" fontId="31" fillId="9" borderId="0" applyNumberFormat="0" applyBorder="0" applyAlignment="0" applyProtection="0"/>
    <xf numFmtId="0" fontId="31" fillId="10"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1" fillId="15" borderId="0" applyNumberFormat="0" applyBorder="0" applyAlignment="0" applyProtection="0"/>
    <xf numFmtId="0" fontId="31" fillId="16" borderId="0" applyNumberFormat="0" applyBorder="0" applyAlignment="0" applyProtection="0"/>
    <xf numFmtId="0" fontId="31" fillId="17" borderId="0" applyNumberFormat="0" applyBorder="0" applyAlignment="0" applyProtection="0"/>
    <xf numFmtId="0" fontId="31" fillId="18"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1" fillId="19" borderId="0" applyNumberFormat="0" applyBorder="0" applyAlignment="0" applyProtection="0"/>
    <xf numFmtId="0" fontId="36"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0" fontId="36" fillId="0" borderId="0" applyFont="0" applyFill="0" applyBorder="0" applyAlignment="0" applyProtection="0"/>
    <xf numFmtId="0" fontId="37" fillId="3" borderId="0" applyNumberFormat="0" applyBorder="0" applyAlignment="0" applyProtection="0"/>
    <xf numFmtId="0" fontId="36" fillId="0" borderId="0"/>
    <xf numFmtId="0" fontId="38" fillId="20" borderId="1" applyNumberFormat="0" applyAlignment="0" applyProtection="0"/>
    <xf numFmtId="0" fontId="39" fillId="21" borderId="2" applyNumberFormat="0" applyAlignment="0" applyProtection="0"/>
    <xf numFmtId="165" fontId="32" fillId="0" borderId="0" applyFont="0" applyFill="0" applyBorder="0" applyAlignment="0" applyProtection="0"/>
    <xf numFmtId="43" fontId="10" fillId="0" borderId="0" applyFont="0" applyFill="0" applyBorder="0" applyAlignment="0" applyProtection="0"/>
    <xf numFmtId="179" fontId="11" fillId="0" borderId="0" applyFont="0" applyFill="0" applyBorder="0" applyAlignment="0" applyProtection="0"/>
    <xf numFmtId="43" fontId="35" fillId="0" borderId="0" applyFont="0" applyFill="0" applyBorder="0" applyAlignment="0" applyProtection="0"/>
    <xf numFmtId="3" fontId="13" fillId="0" borderId="0" applyFont="0" applyFill="0" applyBorder="0" applyAlignment="0" applyProtection="0"/>
    <xf numFmtId="166" fontId="13" fillId="0" borderId="0" applyFont="0" applyFill="0" applyBorder="0" applyAlignment="0" applyProtection="0"/>
    <xf numFmtId="0" fontId="13" fillId="0" borderId="0" applyFont="0" applyFill="0" applyBorder="0" applyAlignment="0" applyProtection="0"/>
    <xf numFmtId="172" fontId="14" fillId="0" borderId="0" applyFont="0" applyFill="0" applyBorder="0" applyAlignment="0" applyProtection="0"/>
    <xf numFmtId="174" fontId="14" fillId="0" borderId="0" applyFont="0" applyFill="0" applyBorder="0" applyAlignment="0" applyProtection="0"/>
    <xf numFmtId="0" fontId="40" fillId="0" borderId="0" applyNumberFormat="0" applyFill="0" applyBorder="0" applyAlignment="0" applyProtection="0"/>
    <xf numFmtId="2" fontId="13" fillId="0" borderId="0" applyFont="0" applyFill="0" applyBorder="0" applyAlignment="0" applyProtection="0"/>
    <xf numFmtId="0" fontId="41" fillId="4" borderId="0" applyNumberFormat="0" applyBorder="0" applyAlignment="0" applyProtection="0"/>
    <xf numFmtId="0" fontId="19" fillId="0" borderId="3" applyNumberFormat="0" applyAlignment="0" applyProtection="0">
      <alignment horizontal="left" vertical="center"/>
    </xf>
    <xf numFmtId="0" fontId="19" fillId="0" borderId="4">
      <alignment horizontal="left" vertical="center"/>
    </xf>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42" fillId="0" borderId="5" applyNumberFormat="0" applyFill="0" applyAlignment="0" applyProtection="0"/>
    <xf numFmtId="0" fontId="42" fillId="0" borderId="0" applyNumberFormat="0" applyFill="0" applyBorder="0" applyAlignment="0" applyProtection="0"/>
    <xf numFmtId="175" fontId="24" fillId="0" borderId="0">
      <protection locked="0"/>
    </xf>
    <xf numFmtId="175" fontId="24" fillId="0" borderId="0">
      <protection locked="0"/>
    </xf>
    <xf numFmtId="0" fontId="43" fillId="7" borderId="1" applyNumberFormat="0" applyAlignment="0" applyProtection="0"/>
    <xf numFmtId="0" fontId="44" fillId="0" borderId="6" applyNumberFormat="0" applyFill="0" applyAlignment="0" applyProtection="0"/>
    <xf numFmtId="0" fontId="45" fillId="22" borderId="0" applyNumberFormat="0" applyBorder="0" applyAlignment="0" applyProtection="0"/>
    <xf numFmtId="177" fontId="46" fillId="0" borderId="0"/>
    <xf numFmtId="0" fontId="13" fillId="0" borderId="0"/>
    <xf numFmtId="0" fontId="35" fillId="0" borderId="0"/>
    <xf numFmtId="0" fontId="35" fillId="0" borderId="0"/>
    <xf numFmtId="0" fontId="13" fillId="0" borderId="0"/>
    <xf numFmtId="0" fontId="13" fillId="0" borderId="0"/>
    <xf numFmtId="0" fontId="49" fillId="0" borderId="0"/>
    <xf numFmtId="0" fontId="49" fillId="0" borderId="0"/>
    <xf numFmtId="0" fontId="13" fillId="0" borderId="0"/>
    <xf numFmtId="0" fontId="49" fillId="0" borderId="0"/>
    <xf numFmtId="0" fontId="13" fillId="0" borderId="0"/>
    <xf numFmtId="0" fontId="13" fillId="0" borderId="0"/>
    <xf numFmtId="0" fontId="11" fillId="0" borderId="0"/>
    <xf numFmtId="0" fontId="25" fillId="0" borderId="0"/>
    <xf numFmtId="0" fontId="11" fillId="0" borderId="0"/>
    <xf numFmtId="0" fontId="13" fillId="0" borderId="0"/>
    <xf numFmtId="0" fontId="11" fillId="0" borderId="0"/>
    <xf numFmtId="0" fontId="13" fillId="0" borderId="0"/>
    <xf numFmtId="0" fontId="7" fillId="0" borderId="0"/>
    <xf numFmtId="0" fontId="32" fillId="0" borderId="0"/>
    <xf numFmtId="0" fontId="7" fillId="0" borderId="0"/>
    <xf numFmtId="0" fontId="32" fillId="0" borderId="0"/>
    <xf numFmtId="0" fontId="7" fillId="0" borderId="0"/>
    <xf numFmtId="0" fontId="32" fillId="0" borderId="0"/>
    <xf numFmtId="0" fontId="11" fillId="0" borderId="0"/>
    <xf numFmtId="0" fontId="11" fillId="0" borderId="0"/>
    <xf numFmtId="0" fontId="13"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5" fillId="0" borderId="0"/>
    <xf numFmtId="0" fontId="13" fillId="0" borderId="0"/>
    <xf numFmtId="0" fontId="10" fillId="23" borderId="7" applyNumberFormat="0" applyFont="0" applyAlignment="0" applyProtection="0"/>
    <xf numFmtId="0" fontId="13" fillId="0" borderId="0" applyFont="0" applyFill="0" applyBorder="0" applyAlignment="0" applyProtection="0"/>
    <xf numFmtId="0" fontId="25" fillId="0" borderId="0"/>
    <xf numFmtId="0" fontId="47" fillId="20" borderId="8" applyNumberFormat="0" applyAlignment="0" applyProtection="0"/>
    <xf numFmtId="9" fontId="32" fillId="0" borderId="0" applyFont="0" applyFill="0" applyBorder="0" applyAlignment="0" applyProtection="0"/>
    <xf numFmtId="9" fontId="35" fillId="0" borderId="0" applyFont="0" applyFill="0" applyBorder="0" applyAlignment="0" applyProtection="0"/>
    <xf numFmtId="9" fontId="49" fillId="0" borderId="0" applyFont="0" applyFill="0" applyBorder="0" applyAlignment="0" applyProtection="0"/>
    <xf numFmtId="0" fontId="33" fillId="0" borderId="0" applyNumberFormat="0" applyFill="0" applyBorder="0" applyAlignment="0" applyProtection="0"/>
    <xf numFmtId="0" fontId="13" fillId="0" borderId="9" applyNumberFormat="0" applyFont="0" applyFill="0" applyAlignment="0" applyProtection="0"/>
    <xf numFmtId="0" fontId="13" fillId="0" borderId="9" applyNumberFormat="0" applyFont="0" applyFill="0" applyAlignment="0" applyProtection="0"/>
    <xf numFmtId="0" fontId="13" fillId="0" borderId="9" applyNumberFormat="0" applyFont="0" applyFill="0" applyAlignment="0" applyProtection="0"/>
    <xf numFmtId="0" fontId="13" fillId="0" borderId="9" applyNumberFormat="0" applyFont="0" applyFill="0" applyAlignment="0" applyProtection="0"/>
    <xf numFmtId="0" fontId="13" fillId="0" borderId="9" applyNumberFormat="0" applyFont="0" applyFill="0" applyAlignment="0" applyProtection="0"/>
    <xf numFmtId="0" fontId="11" fillId="0" borderId="10"/>
    <xf numFmtId="0" fontId="9" fillId="24" borderId="10">
      <alignment horizontal="left" vertical="center"/>
    </xf>
    <xf numFmtId="5" fontId="12" fillId="0" borderId="11">
      <alignment horizontal="left" vertical="top"/>
    </xf>
    <xf numFmtId="178" fontId="12" fillId="0" borderId="11">
      <alignment horizontal="left" vertical="top"/>
    </xf>
    <xf numFmtId="5" fontId="10" fillId="0" borderId="12">
      <alignment horizontal="left" vertical="top"/>
    </xf>
    <xf numFmtId="178" fontId="10" fillId="0" borderId="12">
      <alignment horizontal="left" vertical="top"/>
    </xf>
    <xf numFmtId="0" fontId="15" fillId="0" borderId="12">
      <alignment horizontal="left" vertical="center"/>
    </xf>
    <xf numFmtId="171" fontId="14" fillId="0" borderId="0" applyFont="0" applyFill="0" applyBorder="0" applyAlignment="0" applyProtection="0"/>
    <xf numFmtId="173" fontId="14" fillId="0" borderId="0" applyFont="0" applyFill="0" applyBorder="0" applyAlignment="0" applyProtection="0"/>
    <xf numFmtId="0" fontId="48" fillId="0" borderId="0" applyNumberForma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10" fontId="13" fillId="0" borderId="0" applyFont="0" applyFill="0" applyBorder="0" applyAlignment="0" applyProtection="0"/>
    <xf numFmtId="0" fontId="21" fillId="0" borderId="0"/>
    <xf numFmtId="0" fontId="22" fillId="0" borderId="0" applyFont="0" applyFill="0" applyBorder="0" applyAlignment="0" applyProtection="0"/>
    <xf numFmtId="0" fontId="22" fillId="0" borderId="0" applyFont="0" applyFill="0" applyBorder="0" applyAlignment="0" applyProtection="0"/>
    <xf numFmtId="170" fontId="22" fillId="0" borderId="0" applyFont="0" applyFill="0" applyBorder="0" applyAlignment="0" applyProtection="0"/>
    <xf numFmtId="169" fontId="22" fillId="0" borderId="0" applyFont="0" applyFill="0" applyBorder="0" applyAlignment="0" applyProtection="0"/>
    <xf numFmtId="0" fontId="23" fillId="0" borderId="0"/>
    <xf numFmtId="0" fontId="13" fillId="0" borderId="0"/>
    <xf numFmtId="43" fontId="7" fillId="0" borderId="0" applyFont="0" applyFill="0" applyBorder="0" applyAlignment="0" applyProtection="0"/>
    <xf numFmtId="9" fontId="7" fillId="0" borderId="0" applyFont="0" applyFill="0" applyBorder="0" applyAlignment="0" applyProtection="0"/>
    <xf numFmtId="0" fontId="6" fillId="0" borderId="0"/>
    <xf numFmtId="0" fontId="6" fillId="0" borderId="0"/>
    <xf numFmtId="0" fontId="53" fillId="0" borderId="0"/>
    <xf numFmtId="0" fontId="13" fillId="0" borderId="0"/>
    <xf numFmtId="0" fontId="5" fillId="0" borderId="0"/>
    <xf numFmtId="0" fontId="5" fillId="0" borderId="0"/>
    <xf numFmtId="0" fontId="4" fillId="0" borderId="0"/>
    <xf numFmtId="0" fontId="59" fillId="0" borderId="0"/>
    <xf numFmtId="164" fontId="3" fillId="0" borderId="0" applyFont="0" applyFill="0" applyBorder="0" applyAlignment="0" applyProtection="0"/>
    <xf numFmtId="0" fontId="2" fillId="0" borderId="0"/>
    <xf numFmtId="0" fontId="2" fillId="0" borderId="0"/>
    <xf numFmtId="0" fontId="60" fillId="0" borderId="0" applyNumberFormat="0" applyFill="0" applyBorder="0" applyAlignment="0" applyProtection="0"/>
    <xf numFmtId="0" fontId="7" fillId="0" borderId="0"/>
    <xf numFmtId="0" fontId="62" fillId="0" borderId="0"/>
    <xf numFmtId="0" fontId="1" fillId="0" borderId="0"/>
    <xf numFmtId="182" fontId="1" fillId="0" borderId="0" applyFont="0" applyFill="0" applyBorder="0" applyAlignment="0" applyProtection="0"/>
    <xf numFmtId="0" fontId="13" fillId="0" borderId="0"/>
  </cellStyleXfs>
  <cellXfs count="244">
    <xf numFmtId="0" fontId="0" fillId="0" borderId="0" xfId="0"/>
    <xf numFmtId="0" fontId="13" fillId="0" borderId="0" xfId="146"/>
    <xf numFmtId="0" fontId="0" fillId="0" borderId="0" xfId="0" applyProtection="1">
      <protection locked="0" hidden="1"/>
    </xf>
    <xf numFmtId="0" fontId="0" fillId="0" borderId="0" xfId="0" applyProtection="1">
      <protection hidden="1"/>
    </xf>
    <xf numFmtId="0" fontId="30" fillId="0" borderId="0" xfId="0" applyFont="1"/>
    <xf numFmtId="0" fontId="54" fillId="0" borderId="10" xfId="0" applyFont="1" applyBorder="1" applyAlignment="1">
      <alignment horizontal="center" vertical="center" wrapText="1"/>
    </xf>
    <xf numFmtId="0" fontId="28" fillId="0" borderId="10" xfId="0" applyFont="1" applyBorder="1" applyAlignment="1">
      <alignment horizontal="center" vertical="center" wrapText="1"/>
    </xf>
    <xf numFmtId="0" fontId="54" fillId="0" borderId="10" xfId="0" applyFont="1" applyBorder="1" applyAlignment="1">
      <alignment vertical="center" wrapText="1"/>
    </xf>
    <xf numFmtId="0" fontId="54" fillId="0" borderId="10" xfId="0" applyFont="1" applyBorder="1" applyAlignment="1">
      <alignment horizontal="right" vertical="center" wrapText="1"/>
    </xf>
    <xf numFmtId="3" fontId="54" fillId="0" borderId="10" xfId="0" applyNumberFormat="1" applyFont="1" applyBorder="1" applyAlignment="1">
      <alignment horizontal="right" vertical="center" wrapText="1"/>
    </xf>
    <xf numFmtId="0" fontId="28" fillId="26" borderId="10" xfId="0" applyFont="1" applyFill="1" applyBorder="1" applyAlignment="1">
      <alignment horizontal="center" vertical="center" wrapText="1"/>
    </xf>
    <xf numFmtId="0" fontId="54" fillId="26" borderId="10" xfId="0" applyFont="1" applyFill="1" applyBorder="1" applyAlignment="1">
      <alignment horizontal="right" vertical="center" wrapText="1"/>
    </xf>
    <xf numFmtId="0" fontId="65" fillId="0" borderId="0" xfId="0" applyFont="1"/>
    <xf numFmtId="0" fontId="64" fillId="26" borderId="10" xfId="0" applyFont="1" applyFill="1" applyBorder="1" applyAlignment="1">
      <alignment horizontal="center" vertical="center" wrapText="1"/>
    </xf>
    <xf numFmtId="0" fontId="64" fillId="26" borderId="10" xfId="0" applyFont="1" applyFill="1" applyBorder="1" applyAlignment="1">
      <alignment vertical="center" wrapText="1"/>
    </xf>
    <xf numFmtId="3" fontId="64" fillId="26" borderId="10" xfId="0" applyNumberFormat="1" applyFont="1" applyFill="1" applyBorder="1" applyAlignment="1">
      <alignment horizontal="right" vertical="center" wrapText="1"/>
    </xf>
    <xf numFmtId="0" fontId="28" fillId="26" borderId="10" xfId="0" applyFont="1" applyFill="1" applyBorder="1" applyAlignment="1">
      <alignment horizontal="right" vertical="center" wrapText="1"/>
    </xf>
    <xf numFmtId="0" fontId="63" fillId="26" borderId="10" xfId="0" applyFont="1" applyFill="1" applyBorder="1" applyAlignment="1">
      <alignment horizontal="center" vertical="center" wrapText="1"/>
    </xf>
    <xf numFmtId="0" fontId="63" fillId="26" borderId="10" xfId="0" applyFont="1" applyFill="1" applyBorder="1" applyAlignment="1">
      <alignment vertical="center" wrapText="1"/>
    </xf>
    <xf numFmtId="0" fontId="54" fillId="26" borderId="10" xfId="0" applyFont="1" applyFill="1" applyBorder="1" applyAlignment="1">
      <alignment horizontal="center" vertical="center" wrapText="1"/>
    </xf>
    <xf numFmtId="3" fontId="63" fillId="26" borderId="10" xfId="0" applyNumberFormat="1" applyFont="1" applyFill="1" applyBorder="1" applyAlignment="1">
      <alignment horizontal="right" vertical="center" wrapText="1"/>
    </xf>
    <xf numFmtId="0" fontId="28" fillId="26" borderId="10" xfId="0" applyFont="1" applyFill="1" applyBorder="1" applyAlignment="1">
      <alignment vertical="center" wrapText="1"/>
    </xf>
    <xf numFmtId="0" fontId="64" fillId="26" borderId="10" xfId="0" applyFont="1" applyFill="1" applyBorder="1" applyAlignment="1">
      <alignment horizontal="right" vertical="center" wrapText="1"/>
    </xf>
    <xf numFmtId="49" fontId="57" fillId="0" borderId="0" xfId="0" applyNumberFormat="1" applyFont="1" applyAlignment="1">
      <alignment vertical="center" wrapText="1"/>
    </xf>
    <xf numFmtId="49" fontId="57" fillId="0" borderId="0" xfId="0" applyNumberFormat="1" applyFont="1" applyAlignment="1">
      <alignment horizontal="left" vertical="center"/>
    </xf>
    <xf numFmtId="49" fontId="68" fillId="0" borderId="10" xfId="0" applyNumberFormat="1" applyFont="1" applyBorder="1" applyAlignment="1">
      <alignment horizontal="center" vertical="center" wrapText="1"/>
    </xf>
    <xf numFmtId="0" fontId="68" fillId="0" borderId="10" xfId="0" applyFont="1" applyBorder="1" applyAlignment="1">
      <alignment horizontal="center" vertical="center" wrapText="1"/>
    </xf>
    <xf numFmtId="0" fontId="25" fillId="0" borderId="10" xfId="0" applyFont="1" applyBorder="1" applyAlignment="1">
      <alignment horizontal="center" vertical="center" wrapText="1"/>
    </xf>
    <xf numFmtId="3" fontId="25" fillId="0" borderId="10" xfId="0" applyNumberFormat="1" applyFont="1" applyBorder="1" applyAlignment="1">
      <alignment horizontal="center" vertical="center" wrapText="1"/>
    </xf>
    <xf numFmtId="0" fontId="25" fillId="0" borderId="10" xfId="0" applyFont="1" applyBorder="1" applyAlignment="1">
      <alignment vertical="center" wrapText="1"/>
    </xf>
    <xf numFmtId="0" fontId="25" fillId="0" borderId="10" xfId="0" applyFont="1" applyBorder="1" applyAlignment="1">
      <alignment horizontal="center" vertical="center"/>
    </xf>
    <xf numFmtId="49" fontId="69" fillId="0" borderId="10" xfId="0" applyNumberFormat="1" applyFont="1" applyBorder="1" applyAlignment="1">
      <alignment horizontal="center" vertical="center" wrapText="1"/>
    </xf>
    <xf numFmtId="0" fontId="71" fillId="0" borderId="10" xfId="161" applyFont="1" applyBorder="1" applyAlignment="1">
      <alignment horizontal="center" vertical="center" wrapText="1"/>
    </xf>
    <xf numFmtId="49" fontId="67" fillId="25" borderId="10" xfId="147" applyNumberFormat="1" applyFont="1" applyFill="1" applyBorder="1" applyAlignment="1">
      <alignment horizontal="center" vertical="center" wrapText="1"/>
    </xf>
    <xf numFmtId="3" fontId="71" fillId="25" borderId="10" xfId="0" applyNumberFormat="1" applyFont="1" applyFill="1" applyBorder="1" applyAlignment="1">
      <alignment horizontal="center" vertical="center" wrapText="1"/>
    </xf>
    <xf numFmtId="3" fontId="66" fillId="25" borderId="10" xfId="0" applyNumberFormat="1" applyFont="1" applyFill="1" applyBorder="1" applyAlignment="1">
      <alignment horizontal="center" vertical="center" wrapText="1"/>
    </xf>
    <xf numFmtId="49" fontId="25" fillId="0" borderId="10" xfId="0" applyNumberFormat="1" applyFont="1" applyBorder="1" applyAlignment="1">
      <alignment horizontal="left" vertical="center" wrapText="1"/>
    </xf>
    <xf numFmtId="49" fontId="25" fillId="0" borderId="10" xfId="0" applyNumberFormat="1" applyFont="1" applyBorder="1" applyAlignment="1">
      <alignment horizontal="center" vertical="center" wrapText="1"/>
    </xf>
    <xf numFmtId="3" fontId="72" fillId="25" borderId="10" xfId="0" applyNumberFormat="1" applyFont="1" applyFill="1" applyBorder="1" applyAlignment="1">
      <alignment horizontal="center" vertical="center" wrapText="1"/>
    </xf>
    <xf numFmtId="3" fontId="25" fillId="25" borderId="10" xfId="0" applyNumberFormat="1" applyFont="1" applyFill="1" applyBorder="1" applyAlignment="1">
      <alignment horizontal="center" vertical="center" wrapText="1"/>
    </xf>
    <xf numFmtId="49" fontId="68" fillId="0" borderId="10" xfId="0" applyNumberFormat="1" applyFont="1" applyBorder="1" applyAlignment="1">
      <alignment horizontal="left" vertical="center" wrapText="1"/>
    </xf>
    <xf numFmtId="0" fontId="68" fillId="0" borderId="10" xfId="0" quotePrefix="1" applyFont="1" applyBorder="1" applyAlignment="1">
      <alignment horizontal="center" vertical="center" wrapText="1"/>
    </xf>
    <xf numFmtId="0" fontId="25" fillId="25" borderId="10" xfId="161" applyFont="1" applyFill="1" applyBorder="1" applyAlignment="1">
      <alignment horizontal="center" vertical="center" wrapText="1"/>
    </xf>
    <xf numFmtId="0" fontId="25" fillId="0" borderId="10" xfId="161" applyFont="1" applyBorder="1" applyAlignment="1">
      <alignment horizontal="center" vertical="center" wrapText="1"/>
    </xf>
    <xf numFmtId="49" fontId="69" fillId="0" borderId="10" xfId="0" applyNumberFormat="1" applyFont="1" applyBorder="1" applyAlignment="1">
      <alignment horizontal="left" vertical="center" wrapText="1"/>
    </xf>
    <xf numFmtId="49" fontId="73" fillId="0" borderId="10" xfId="0" applyNumberFormat="1" applyFont="1" applyBorder="1" applyAlignment="1">
      <alignment horizontal="center" vertical="center" wrapText="1"/>
    </xf>
    <xf numFmtId="49" fontId="74" fillId="0" borderId="10" xfId="0" applyNumberFormat="1" applyFont="1" applyBorder="1" applyAlignment="1">
      <alignment horizontal="left" vertical="center" wrapText="1"/>
    </xf>
    <xf numFmtId="49" fontId="73" fillId="0" borderId="10" xfId="0" applyNumberFormat="1" applyFont="1" applyBorder="1" applyAlignment="1">
      <alignment horizontal="left" vertical="center" wrapText="1"/>
    </xf>
    <xf numFmtId="49" fontId="25" fillId="0" borderId="10" xfId="0" quotePrefix="1" applyNumberFormat="1" applyFont="1" applyBorder="1" applyAlignment="1">
      <alignment horizontal="center" vertical="center" wrapText="1"/>
    </xf>
    <xf numFmtId="49" fontId="25" fillId="25" borderId="10" xfId="0" applyNumberFormat="1" applyFont="1" applyFill="1" applyBorder="1" applyAlignment="1">
      <alignment horizontal="center" vertical="center" wrapText="1"/>
    </xf>
    <xf numFmtId="49" fontId="25" fillId="25" borderId="10" xfId="0" quotePrefix="1" applyNumberFormat="1" applyFont="1" applyFill="1" applyBorder="1" applyAlignment="1">
      <alignment horizontal="center" vertical="center" wrapText="1"/>
    </xf>
    <xf numFmtId="3" fontId="72" fillId="0" borderId="10" xfId="0" applyNumberFormat="1" applyFont="1" applyBorder="1" applyAlignment="1">
      <alignment horizontal="center" vertical="center" wrapText="1"/>
    </xf>
    <xf numFmtId="0" fontId="25" fillId="25" borderId="10" xfId="0" applyFont="1" applyFill="1" applyBorder="1" applyAlignment="1">
      <alignment horizontal="center" vertical="center" wrapText="1"/>
    </xf>
    <xf numFmtId="49" fontId="68" fillId="0" borderId="10" xfId="0" quotePrefix="1" applyNumberFormat="1" applyFont="1" applyBorder="1" applyAlignment="1">
      <alignment horizontal="center" vertical="center" wrapText="1"/>
    </xf>
    <xf numFmtId="0" fontId="68" fillId="0" borderId="10" xfId="0" applyFont="1" applyBorder="1" applyAlignment="1">
      <alignment horizontal="left" vertical="center" wrapText="1"/>
    </xf>
    <xf numFmtId="0" fontId="25" fillId="0" borderId="10" xfId="0" applyFont="1" applyBorder="1" applyAlignment="1">
      <alignment horizontal="left" vertical="center" wrapText="1"/>
    </xf>
    <xf numFmtId="0" fontId="25" fillId="0" borderId="10" xfId="0" applyFont="1" applyBorder="1" applyAlignment="1">
      <alignment horizontal="center" wrapText="1"/>
    </xf>
    <xf numFmtId="49" fontId="58" fillId="0" borderId="0" xfId="0" applyNumberFormat="1" applyFont="1"/>
    <xf numFmtId="0" fontId="52" fillId="0" borderId="0" xfId="0" applyFont="1"/>
    <xf numFmtId="0" fontId="76" fillId="0" borderId="10" xfId="160" applyFont="1" applyBorder="1" applyAlignment="1">
      <alignment horizontal="center" vertical="center" wrapText="1"/>
    </xf>
    <xf numFmtId="49" fontId="76" fillId="0" borderId="10" xfId="160" applyNumberFormat="1" applyFont="1" applyBorder="1" applyAlignment="1">
      <alignment horizontal="center" vertical="center" wrapText="1"/>
    </xf>
    <xf numFmtId="0" fontId="66" fillId="25" borderId="10" xfId="0" applyFont="1" applyFill="1" applyBorder="1" applyAlignment="1">
      <alignment horizontal="center" vertical="center" wrapText="1"/>
    </xf>
    <xf numFmtId="0" fontId="56" fillId="0" borderId="0" xfId="0" applyFont="1"/>
    <xf numFmtId="0" fontId="71" fillId="0" borderId="10" xfId="0" applyFont="1" applyBorder="1" applyAlignment="1">
      <alignment horizontal="center" vertical="center" wrapText="1"/>
    </xf>
    <xf numFmtId="0" fontId="67" fillId="25" borderId="10" xfId="0" applyFont="1" applyFill="1" applyBorder="1" applyAlignment="1">
      <alignment horizontal="center" vertical="center" wrapText="1"/>
    </xf>
    <xf numFmtId="49" fontId="67" fillId="25" borderId="10" xfId="0" applyNumberFormat="1" applyFont="1" applyFill="1" applyBorder="1" applyAlignment="1">
      <alignment horizontal="center" vertical="center"/>
    </xf>
    <xf numFmtId="49" fontId="78" fillId="25" borderId="10" xfId="0" applyNumberFormat="1" applyFont="1" applyFill="1" applyBorder="1" applyAlignment="1">
      <alignment vertical="center"/>
    </xf>
    <xf numFmtId="49" fontId="67" fillId="25" borderId="10" xfId="0" applyNumberFormat="1" applyFont="1" applyFill="1" applyBorder="1" applyAlignment="1">
      <alignment vertical="center"/>
    </xf>
    <xf numFmtId="49" fontId="69" fillId="0" borderId="10" xfId="0" applyNumberFormat="1" applyFont="1" applyBorder="1" applyAlignment="1">
      <alignment wrapText="1"/>
    </xf>
    <xf numFmtId="49" fontId="71" fillId="0" borderId="10" xfId="0" applyNumberFormat="1" applyFont="1" applyBorder="1" applyAlignment="1">
      <alignment wrapText="1"/>
    </xf>
    <xf numFmtId="49" fontId="69" fillId="0" borderId="10" xfId="0" applyNumberFormat="1" applyFont="1" applyBorder="1" applyAlignment="1">
      <alignment vertical="center" wrapText="1"/>
    </xf>
    <xf numFmtId="49" fontId="71" fillId="0" borderId="10" xfId="0" applyNumberFormat="1" applyFont="1" applyBorder="1" applyAlignment="1">
      <alignment vertical="center" wrapText="1"/>
    </xf>
    <xf numFmtId="0" fontId="68" fillId="0" borderId="10" xfId="0" applyFont="1" applyBorder="1" applyAlignment="1">
      <alignment horizontal="center" wrapText="1"/>
    </xf>
    <xf numFmtId="49" fontId="71" fillId="0" borderId="10" xfId="0" applyNumberFormat="1" applyFont="1" applyBorder="1" applyAlignment="1">
      <alignment horizontal="left" wrapText="1"/>
    </xf>
    <xf numFmtId="49" fontId="68" fillId="0" borderId="10" xfId="0" applyNumberFormat="1" applyFont="1" applyBorder="1" applyAlignment="1">
      <alignment vertical="center" wrapText="1"/>
    </xf>
    <xf numFmtId="49" fontId="25" fillId="0" borderId="10" xfId="0" applyNumberFormat="1" applyFont="1" applyBorder="1" applyAlignment="1">
      <alignment horizontal="left" vertical="top" wrapText="1"/>
    </xf>
    <xf numFmtId="49" fontId="68" fillId="0" borderId="10" xfId="0" applyNumberFormat="1" applyFont="1" applyBorder="1" applyAlignment="1">
      <alignment horizontal="left" wrapText="1"/>
    </xf>
    <xf numFmtId="49" fontId="69" fillId="0" borderId="10" xfId="0" applyNumberFormat="1" applyFont="1" applyBorder="1" applyAlignment="1">
      <alignment horizontal="left" wrapText="1"/>
    </xf>
    <xf numFmtId="49" fontId="68" fillId="0" borderId="10" xfId="0" applyNumberFormat="1" applyFont="1" applyBorder="1" applyAlignment="1">
      <alignment horizontal="center" vertical="top" wrapText="1"/>
    </xf>
    <xf numFmtId="0" fontId="25" fillId="0" borderId="10" xfId="0" applyFont="1" applyBorder="1" applyAlignment="1">
      <alignment vertical="center"/>
    </xf>
    <xf numFmtId="0" fontId="25" fillId="0" borderId="10" xfId="160" applyFont="1" applyFill="1" applyBorder="1" applyAlignment="1">
      <alignment horizontal="left" vertical="center"/>
    </xf>
    <xf numFmtId="49" fontId="68" fillId="0" borderId="10" xfId="0" applyNumberFormat="1" applyFont="1" applyBorder="1" applyAlignment="1">
      <alignment horizontal="center" wrapText="1"/>
    </xf>
    <xf numFmtId="0" fontId="79" fillId="0" borderId="10" xfId="0" applyFont="1" applyBorder="1" applyAlignment="1">
      <alignment horizontal="center" vertical="top" wrapText="1"/>
    </xf>
    <xf numFmtId="49" fontId="68" fillId="0" borderId="10" xfId="0" applyNumberFormat="1" applyFont="1" applyBorder="1" applyAlignment="1">
      <alignment vertical="top" wrapText="1"/>
    </xf>
    <xf numFmtId="49" fontId="68" fillId="0" borderId="10" xfId="0" applyNumberFormat="1" applyFont="1" applyBorder="1" applyAlignment="1">
      <alignment vertical="center"/>
    </xf>
    <xf numFmtId="0" fontId="25" fillId="25" borderId="10" xfId="161" applyFont="1" applyFill="1" applyBorder="1" applyAlignment="1">
      <alignment horizontal="center" vertical="top" wrapText="1"/>
    </xf>
    <xf numFmtId="2" fontId="69" fillId="0" borderId="10" xfId="0" applyNumberFormat="1" applyFont="1" applyBorder="1" applyAlignment="1">
      <alignment vertical="center" wrapText="1"/>
    </xf>
    <xf numFmtId="49" fontId="66" fillId="0" borderId="10" xfId="0" applyNumberFormat="1" applyFont="1" applyBorder="1" applyAlignment="1">
      <alignment vertical="center" wrapText="1"/>
    </xf>
    <xf numFmtId="49" fontId="73" fillId="0" borderId="10" xfId="0" applyNumberFormat="1" applyFont="1" applyBorder="1" applyAlignment="1">
      <alignment vertical="center" wrapText="1"/>
    </xf>
    <xf numFmtId="2" fontId="73" fillId="0" borderId="10" xfId="0" applyNumberFormat="1" applyFont="1" applyBorder="1" applyAlignment="1">
      <alignment vertical="center" wrapText="1"/>
    </xf>
    <xf numFmtId="49" fontId="25" fillId="0" borderId="10" xfId="0" applyNumberFormat="1" applyFont="1" applyBorder="1" applyAlignment="1">
      <alignment vertical="center" wrapText="1"/>
    </xf>
    <xf numFmtId="49" fontId="75" fillId="0" borderId="10" xfId="0" applyNumberFormat="1" applyFont="1" applyBorder="1" applyAlignment="1">
      <alignment horizontal="left" vertical="center" wrapText="1"/>
    </xf>
    <xf numFmtId="49" fontId="74" fillId="0" borderId="10" xfId="0" applyNumberFormat="1" applyFont="1" applyBorder="1" applyAlignment="1">
      <alignment vertical="center" wrapText="1"/>
    </xf>
    <xf numFmtId="49" fontId="66" fillId="0" borderId="10" xfId="0" applyNumberFormat="1" applyFont="1" applyBorder="1" applyAlignment="1">
      <alignment horizontal="left" vertical="center" wrapText="1"/>
    </xf>
    <xf numFmtId="0" fontId="68" fillId="0" borderId="10" xfId="0" applyFont="1" applyBorder="1"/>
    <xf numFmtId="49" fontId="25" fillId="25" borderId="10" xfId="147" applyNumberFormat="1" applyFont="1" applyFill="1" applyBorder="1" applyAlignment="1">
      <alignment horizontal="center" vertical="center"/>
    </xf>
    <xf numFmtId="49" fontId="25" fillId="25" borderId="10" xfId="0" applyNumberFormat="1" applyFont="1" applyFill="1" applyBorder="1" applyAlignment="1">
      <alignment vertical="center" wrapText="1"/>
    </xf>
    <xf numFmtId="0" fontId="25" fillId="0" borderId="10" xfId="0" applyFont="1" applyBorder="1"/>
    <xf numFmtId="0" fontId="25" fillId="0" borderId="10" xfId="0" quotePrefix="1" applyFont="1" applyBorder="1" applyAlignment="1">
      <alignment horizontal="center" vertical="center"/>
    </xf>
    <xf numFmtId="0" fontId="68" fillId="0" borderId="10" xfId="0" applyFont="1" applyBorder="1" applyAlignment="1">
      <alignment vertical="top" wrapText="1"/>
    </xf>
    <xf numFmtId="0" fontId="68" fillId="0" borderId="10" xfId="0" applyFont="1" applyBorder="1" applyAlignment="1">
      <alignment horizontal="center" vertical="top" wrapText="1"/>
    </xf>
    <xf numFmtId="0" fontId="68" fillId="0" borderId="10" xfId="0" applyFont="1" applyBorder="1" applyAlignment="1">
      <alignment horizontal="center" vertical="center"/>
    </xf>
    <xf numFmtId="0" fontId="68" fillId="0" borderId="10" xfId="0" quotePrefix="1" applyFont="1" applyBorder="1" applyAlignment="1">
      <alignment horizontal="center" vertical="center"/>
    </xf>
    <xf numFmtId="0" fontId="68" fillId="0" borderId="10" xfId="0" applyFont="1" applyBorder="1" applyAlignment="1">
      <alignment vertical="center" wrapText="1"/>
    </xf>
    <xf numFmtId="0" fontId="68" fillId="0" borderId="10" xfId="0" applyFont="1" applyBorder="1" applyAlignment="1">
      <alignment wrapText="1"/>
    </xf>
    <xf numFmtId="0" fontId="51" fillId="25" borderId="0" xfId="0" applyFont="1" applyFill="1"/>
    <xf numFmtId="0" fontId="27" fillId="25" borderId="10" xfId="0" applyFont="1" applyFill="1" applyBorder="1" applyAlignment="1">
      <alignment horizontal="center" vertical="center" wrapText="1"/>
    </xf>
    <xf numFmtId="0" fontId="27" fillId="25" borderId="0" xfId="0" applyFont="1" applyFill="1"/>
    <xf numFmtId="0" fontId="26" fillId="25" borderId="0" xfId="0" applyFont="1" applyFill="1"/>
    <xf numFmtId="49" fontId="26" fillId="25" borderId="0" xfId="0" applyNumberFormat="1" applyFont="1" applyFill="1" applyAlignment="1">
      <alignment vertical="center" wrapText="1"/>
    </xf>
    <xf numFmtId="49" fontId="27" fillId="25" borderId="0" xfId="0" applyNumberFormat="1" applyFont="1" applyFill="1"/>
    <xf numFmtId="0" fontId="27" fillId="25" borderId="10" xfId="0" applyFont="1" applyFill="1" applyBorder="1" applyAlignment="1">
      <alignment vertical="center" wrapText="1"/>
    </xf>
    <xf numFmtId="0" fontId="80" fillId="25" borderId="10" xfId="0" applyFont="1" applyFill="1" applyBorder="1"/>
    <xf numFmtId="0" fontId="80" fillId="25" borderId="10" xfId="0" applyFont="1" applyFill="1" applyBorder="1" applyAlignment="1">
      <alignment vertical="center"/>
    </xf>
    <xf numFmtId="49" fontId="80" fillId="25" borderId="10" xfId="0" applyNumberFormat="1" applyFont="1" applyFill="1" applyBorder="1" applyAlignment="1">
      <alignment horizontal="left" vertical="center" wrapText="1"/>
    </xf>
    <xf numFmtId="49" fontId="80" fillId="25" borderId="14" xfId="0" applyNumberFormat="1" applyFont="1" applyFill="1" applyBorder="1" applyAlignment="1">
      <alignment horizontal="left" vertical="center" wrapText="1"/>
    </xf>
    <xf numFmtId="0" fontId="81" fillId="27" borderId="10" xfId="0" applyFont="1" applyFill="1" applyBorder="1" applyAlignment="1">
      <alignment vertical="center"/>
    </xf>
    <xf numFmtId="0" fontId="81" fillId="27" borderId="10" xfId="0" applyFont="1" applyFill="1" applyBorder="1" applyAlignment="1">
      <alignment vertical="center" wrapText="1"/>
    </xf>
    <xf numFmtId="0" fontId="80" fillId="25" borderId="13" xfId="0" applyFont="1" applyFill="1" applyBorder="1" applyAlignment="1">
      <alignment horizontal="center" wrapText="1"/>
    </xf>
    <xf numFmtId="49" fontId="29" fillId="25" borderId="10" xfId="147" applyNumberFormat="1" applyFont="1" applyFill="1" applyBorder="1" applyAlignment="1">
      <alignment horizontal="center" vertical="center" wrapText="1"/>
    </xf>
    <xf numFmtId="0" fontId="29" fillId="25" borderId="10" xfId="0" applyFont="1" applyFill="1" applyBorder="1" applyAlignment="1">
      <alignment horizontal="center" vertical="center" wrapText="1"/>
    </xf>
    <xf numFmtId="49" fontId="29" fillId="25" borderId="10" xfId="0" applyNumberFormat="1" applyFont="1" applyFill="1" applyBorder="1" applyAlignment="1">
      <alignment horizontal="center" vertical="center"/>
    </xf>
    <xf numFmtId="49" fontId="29" fillId="25" borderId="10" xfId="0" applyNumberFormat="1" applyFont="1" applyFill="1" applyBorder="1" applyAlignment="1">
      <alignment vertical="center"/>
    </xf>
    <xf numFmtId="49" fontId="26" fillId="27" borderId="10" xfId="0" applyNumberFormat="1" applyFont="1" applyFill="1" applyBorder="1" applyAlignment="1">
      <alignment horizontal="center" vertical="center" wrapText="1"/>
    </xf>
    <xf numFmtId="49" fontId="26" fillId="27" borderId="10" xfId="0" applyNumberFormat="1" applyFont="1" applyFill="1" applyBorder="1" applyAlignment="1">
      <alignment wrapText="1"/>
    </xf>
    <xf numFmtId="49" fontId="26" fillId="28" borderId="10" xfId="0" applyNumberFormat="1" applyFont="1" applyFill="1" applyBorder="1" applyAlignment="1">
      <alignment horizontal="center" vertical="center" wrapText="1"/>
    </xf>
    <xf numFmtId="49" fontId="26" fillId="28" borderId="10" xfId="0" applyNumberFormat="1" applyFont="1" applyFill="1" applyBorder="1" applyAlignment="1">
      <alignment horizontal="left" vertical="center" wrapText="1"/>
    </xf>
    <xf numFmtId="49" fontId="26" fillId="28" borderId="10" xfId="0" applyNumberFormat="1" applyFont="1" applyFill="1" applyBorder="1" applyAlignment="1">
      <alignment vertical="center" wrapText="1"/>
    </xf>
    <xf numFmtId="49" fontId="27" fillId="25" borderId="10" xfId="0" applyNumberFormat="1" applyFont="1" applyFill="1" applyBorder="1" applyAlignment="1">
      <alignment vertical="center" wrapText="1"/>
    </xf>
    <xf numFmtId="49" fontId="27" fillId="0" borderId="10" xfId="0" applyNumberFormat="1" applyFont="1" applyBorder="1" applyAlignment="1">
      <alignment horizontal="center" vertical="center" wrapText="1"/>
    </xf>
    <xf numFmtId="49" fontId="27" fillId="25" borderId="10" xfId="0" applyNumberFormat="1" applyFont="1" applyFill="1" applyBorder="1" applyAlignment="1">
      <alignment horizontal="left" vertical="center" wrapText="1"/>
    </xf>
    <xf numFmtId="49" fontId="26" fillId="25" borderId="10" xfId="0" applyNumberFormat="1" applyFont="1" applyFill="1" applyBorder="1" applyAlignment="1">
      <alignment horizontal="center" vertical="center" wrapText="1"/>
    </xf>
    <xf numFmtId="180" fontId="27" fillId="25" borderId="10" xfId="147" applyNumberFormat="1" applyFont="1" applyFill="1" applyBorder="1" applyAlignment="1">
      <alignment horizontal="center" vertical="center" wrapText="1"/>
    </xf>
    <xf numFmtId="49" fontId="27" fillId="25" borderId="10" xfId="0" quotePrefix="1" applyNumberFormat="1" applyFont="1" applyFill="1" applyBorder="1" applyAlignment="1">
      <alignment horizontal="center" vertical="center" wrapText="1"/>
    </xf>
    <xf numFmtId="180" fontId="27" fillId="25" borderId="10" xfId="147" applyNumberFormat="1" applyFont="1" applyFill="1" applyBorder="1" applyAlignment="1">
      <alignment horizontal="right" vertical="center" wrapText="1"/>
    </xf>
    <xf numFmtId="49" fontId="27" fillId="0" borderId="10" xfId="0" applyNumberFormat="1" applyFont="1" applyBorder="1" applyAlignment="1">
      <alignment vertical="center" wrapText="1"/>
    </xf>
    <xf numFmtId="0" fontId="27" fillId="25" borderId="10" xfId="0" applyFont="1" applyFill="1" applyBorder="1" applyAlignment="1">
      <alignment horizontal="center" vertical="center"/>
    </xf>
    <xf numFmtId="0" fontId="27" fillId="25" borderId="10" xfId="0" applyFont="1" applyFill="1" applyBorder="1" applyAlignment="1">
      <alignment vertical="center"/>
    </xf>
    <xf numFmtId="0" fontId="27" fillId="25" borderId="10" xfId="0" applyFont="1" applyFill="1" applyBorder="1" applyAlignment="1">
      <alignment horizontal="left" vertical="center" wrapText="1"/>
    </xf>
    <xf numFmtId="0" fontId="26" fillId="27" borderId="10" xfId="0" applyFont="1" applyFill="1" applyBorder="1" applyAlignment="1">
      <alignment horizontal="center" vertical="center"/>
    </xf>
    <xf numFmtId="49" fontId="26" fillId="27" borderId="10" xfId="0" applyNumberFormat="1" applyFont="1" applyFill="1" applyBorder="1" applyAlignment="1">
      <alignment horizontal="left" vertical="center" wrapText="1"/>
    </xf>
    <xf numFmtId="0" fontId="27" fillId="0" borderId="10" xfId="0" applyFont="1" applyBorder="1" applyAlignment="1">
      <alignment horizontal="center" vertical="center" wrapText="1"/>
    </xf>
    <xf numFmtId="0" fontId="27" fillId="0" borderId="10" xfId="0" applyFont="1" applyBorder="1" applyAlignment="1">
      <alignment horizontal="left" vertical="top" wrapText="1"/>
    </xf>
    <xf numFmtId="3" fontId="27" fillId="25" borderId="10" xfId="0" applyNumberFormat="1" applyFont="1" applyFill="1" applyBorder="1" applyAlignment="1">
      <alignment horizontal="center" vertical="center" wrapText="1"/>
    </xf>
    <xf numFmtId="0" fontId="27" fillId="0" borderId="10" xfId="0" applyFont="1" applyBorder="1" applyAlignment="1">
      <alignment horizontal="left" vertical="center" wrapText="1"/>
    </xf>
    <xf numFmtId="49" fontId="26" fillId="27" borderId="10" xfId="0" applyNumberFormat="1" applyFont="1" applyFill="1" applyBorder="1" applyAlignment="1">
      <alignment vertical="center" wrapText="1"/>
    </xf>
    <xf numFmtId="0" fontId="27" fillId="25" borderId="10" xfId="0" quotePrefix="1" applyFont="1" applyFill="1" applyBorder="1" applyAlignment="1">
      <alignment horizontal="center" vertical="center"/>
    </xf>
    <xf numFmtId="9" fontId="27" fillId="25" borderId="10" xfId="148" applyFont="1" applyFill="1" applyBorder="1" applyAlignment="1">
      <alignment horizontal="center" vertical="center" wrapText="1"/>
    </xf>
    <xf numFmtId="9" fontId="27" fillId="25" borderId="10" xfId="148" applyFont="1" applyFill="1" applyBorder="1" applyAlignment="1">
      <alignment vertical="center" wrapText="1"/>
    </xf>
    <xf numFmtId="1" fontId="27" fillId="25" borderId="10" xfId="148" applyNumberFormat="1" applyFont="1" applyFill="1" applyBorder="1" applyAlignment="1">
      <alignment horizontal="center" vertical="center" wrapText="1"/>
    </xf>
    <xf numFmtId="49" fontId="26" fillId="27" borderId="10" xfId="0" applyNumberFormat="1" applyFont="1" applyFill="1" applyBorder="1" applyAlignment="1">
      <alignment vertical="center"/>
    </xf>
    <xf numFmtId="3" fontId="26" fillId="27" borderId="10" xfId="0" applyNumberFormat="1" applyFont="1" applyFill="1" applyBorder="1" applyAlignment="1">
      <alignment horizontal="center" vertical="center" wrapText="1"/>
    </xf>
    <xf numFmtId="3" fontId="26" fillId="27" borderId="10" xfId="0" applyNumberFormat="1" applyFont="1" applyFill="1" applyBorder="1" applyAlignment="1">
      <alignment horizontal="right" vertical="center" wrapText="1"/>
    </xf>
    <xf numFmtId="0" fontId="81" fillId="25" borderId="10" xfId="0" applyFont="1" applyFill="1" applyBorder="1"/>
    <xf numFmtId="3" fontId="26" fillId="28" borderId="10" xfId="0" applyNumberFormat="1" applyFont="1" applyFill="1" applyBorder="1" applyAlignment="1">
      <alignment horizontal="center" vertical="center" wrapText="1"/>
    </xf>
    <xf numFmtId="0" fontId="26" fillId="28" borderId="10" xfId="0" applyFont="1" applyFill="1" applyBorder="1" applyAlignment="1">
      <alignment horizontal="center" vertical="center" wrapText="1"/>
    </xf>
    <xf numFmtId="0" fontId="80" fillId="25" borderId="10" xfId="0" applyFont="1" applyFill="1" applyBorder="1" applyAlignment="1">
      <alignment horizontal="center" vertical="center" wrapText="1"/>
    </xf>
    <xf numFmtId="0" fontId="27" fillId="25" borderId="10" xfId="161" applyFont="1" applyFill="1" applyBorder="1" applyAlignment="1">
      <alignment horizontal="center" vertical="center" wrapText="1"/>
    </xf>
    <xf numFmtId="49" fontId="26" fillId="25" borderId="10" xfId="0" applyNumberFormat="1" applyFont="1" applyFill="1" applyBorder="1" applyAlignment="1">
      <alignment horizontal="left" wrapText="1"/>
    </xf>
    <xf numFmtId="0" fontId="80" fillId="25" borderId="10" xfId="0" applyFont="1" applyFill="1" applyBorder="1" applyAlignment="1">
      <alignment vertical="center" wrapText="1"/>
    </xf>
    <xf numFmtId="0" fontId="27" fillId="25" borderId="10" xfId="160" applyFont="1" applyFill="1" applyBorder="1" applyAlignment="1">
      <alignment horizontal="left" vertical="center"/>
    </xf>
    <xf numFmtId="49" fontId="27" fillId="25" borderId="10" xfId="0" applyNumberFormat="1" applyFont="1" applyFill="1" applyBorder="1" applyAlignment="1">
      <alignment horizontal="center" wrapText="1"/>
    </xf>
    <xf numFmtId="49" fontId="80" fillId="25" borderId="10" xfId="0" applyNumberFormat="1" applyFont="1" applyFill="1" applyBorder="1" applyAlignment="1">
      <alignment horizontal="left" wrapText="1"/>
    </xf>
    <xf numFmtId="49" fontId="27" fillId="25" borderId="10" xfId="0" applyNumberFormat="1" applyFont="1" applyFill="1" applyBorder="1" applyAlignment="1">
      <alignment vertical="center"/>
    </xf>
    <xf numFmtId="0" fontId="27" fillId="25" borderId="10" xfId="161" applyFont="1" applyFill="1" applyBorder="1" applyAlignment="1">
      <alignment horizontal="center" vertical="top" wrapText="1"/>
    </xf>
    <xf numFmtId="0" fontId="80" fillId="25" borderId="10" xfId="0" applyFont="1" applyFill="1" applyBorder="1" applyAlignment="1">
      <alignment horizontal="left" wrapText="1"/>
    </xf>
    <xf numFmtId="3" fontId="26" fillId="28" borderId="10" xfId="0" applyNumberFormat="1" applyFont="1" applyFill="1" applyBorder="1" applyAlignment="1">
      <alignment horizontal="right" vertical="center" wrapText="1"/>
    </xf>
    <xf numFmtId="180" fontId="27" fillId="25" borderId="0" xfId="0" applyNumberFormat="1" applyFont="1" applyFill="1"/>
    <xf numFmtId="49" fontId="26" fillId="25" borderId="10" xfId="0" applyNumberFormat="1" applyFont="1" applyFill="1" applyBorder="1" applyAlignment="1">
      <alignment vertical="center" wrapText="1"/>
    </xf>
    <xf numFmtId="0" fontId="27" fillId="25" borderId="10" xfId="0" applyFont="1" applyFill="1" applyBorder="1"/>
    <xf numFmtId="49" fontId="80" fillId="0" borderId="10" xfId="0" applyNumberFormat="1" applyFont="1" applyBorder="1" applyAlignment="1">
      <alignment vertical="center" wrapText="1"/>
    </xf>
    <xf numFmtId="180" fontId="27" fillId="28" borderId="10" xfId="147" applyNumberFormat="1" applyFont="1" applyFill="1" applyBorder="1" applyAlignment="1">
      <alignment horizontal="right" vertical="center" wrapText="1"/>
    </xf>
    <xf numFmtId="49" fontId="27" fillId="27" borderId="10" xfId="0" applyNumberFormat="1" applyFont="1" applyFill="1" applyBorder="1" applyAlignment="1">
      <alignment vertical="center" wrapText="1"/>
    </xf>
    <xf numFmtId="49" fontId="27" fillId="27" borderId="10" xfId="0" applyNumberFormat="1" applyFont="1" applyFill="1" applyBorder="1" applyAlignment="1">
      <alignment horizontal="center" vertical="center" wrapText="1"/>
    </xf>
    <xf numFmtId="3" fontId="27" fillId="27" borderId="10" xfId="0" applyNumberFormat="1" applyFont="1" applyFill="1" applyBorder="1" applyAlignment="1">
      <alignment horizontal="center" vertical="center" wrapText="1"/>
    </xf>
    <xf numFmtId="0" fontId="27" fillId="27" borderId="10" xfId="0" applyFont="1" applyFill="1" applyBorder="1"/>
    <xf numFmtId="0" fontId="80" fillId="25" borderId="10" xfId="0" applyFont="1" applyFill="1" applyBorder="1" applyAlignment="1">
      <alignment wrapText="1"/>
    </xf>
    <xf numFmtId="0" fontId="82" fillId="0" borderId="10" xfId="0" applyFont="1" applyBorder="1" applyAlignment="1">
      <alignment horizontal="left" vertical="top" wrapText="1"/>
    </xf>
    <xf numFmtId="0" fontId="27" fillId="25" borderId="10" xfId="0" applyFont="1" applyFill="1" applyBorder="1" applyAlignment="1">
      <alignment wrapText="1"/>
    </xf>
    <xf numFmtId="0" fontId="27" fillId="25" borderId="10" xfId="160" applyFont="1" applyFill="1" applyBorder="1" applyAlignment="1">
      <alignment horizontal="left" vertical="center" wrapText="1"/>
    </xf>
    <xf numFmtId="49" fontId="27" fillId="25" borderId="10" xfId="0" applyNumberFormat="1" applyFont="1" applyFill="1" applyBorder="1" applyAlignment="1">
      <alignment horizontal="left" vertical="top" wrapText="1"/>
    </xf>
    <xf numFmtId="49" fontId="81" fillId="25" borderId="10" xfId="0" applyNumberFormat="1" applyFont="1" applyFill="1" applyBorder="1" applyAlignment="1">
      <alignment vertical="center" wrapText="1"/>
    </xf>
    <xf numFmtId="49" fontId="80" fillId="25" borderId="10" xfId="0" applyNumberFormat="1" applyFont="1" applyFill="1" applyBorder="1" applyAlignment="1">
      <alignment horizontal="center" vertical="center" wrapText="1"/>
    </xf>
    <xf numFmtId="0" fontId="80" fillId="25" borderId="10" xfId="0" applyFont="1" applyFill="1" applyBorder="1" applyAlignment="1">
      <alignment horizontal="center" vertical="center"/>
    </xf>
    <xf numFmtId="0" fontId="80" fillId="25" borderId="10" xfId="0" applyFont="1" applyFill="1" applyBorder="1" applyAlignment="1">
      <alignment horizontal="left" vertical="center" wrapText="1"/>
    </xf>
    <xf numFmtId="0" fontId="80" fillId="25" borderId="10" xfId="0" quotePrefix="1" applyFont="1" applyFill="1" applyBorder="1" applyAlignment="1">
      <alignment horizontal="center" vertical="center"/>
    </xf>
    <xf numFmtId="0" fontId="81" fillId="28" borderId="10" xfId="0" applyFont="1" applyFill="1" applyBorder="1" applyAlignment="1">
      <alignment horizontal="center" vertical="center"/>
    </xf>
    <xf numFmtId="49" fontId="81" fillId="28" borderId="10" xfId="0" applyNumberFormat="1" applyFont="1" applyFill="1" applyBorder="1" applyAlignment="1">
      <alignment vertical="center" wrapText="1"/>
    </xf>
    <xf numFmtId="49" fontId="81" fillId="28" borderId="10" xfId="0" applyNumberFormat="1" applyFont="1" applyFill="1" applyBorder="1" applyAlignment="1">
      <alignment vertical="center"/>
    </xf>
    <xf numFmtId="49" fontId="81" fillId="25" borderId="10" xfId="0" applyNumberFormat="1" applyFont="1" applyFill="1" applyBorder="1" applyAlignment="1">
      <alignment vertical="center"/>
    </xf>
    <xf numFmtId="0" fontId="80" fillId="27" borderId="10" xfId="0" applyFont="1" applyFill="1" applyBorder="1"/>
    <xf numFmtId="180" fontId="26" fillId="28" borderId="10" xfId="147" applyNumberFormat="1" applyFont="1" applyFill="1" applyBorder="1" applyAlignment="1">
      <alignment horizontal="right" vertical="center" wrapText="1"/>
    </xf>
    <xf numFmtId="49" fontId="27" fillId="25" borderId="10" xfId="0" applyNumberFormat="1" applyFont="1" applyFill="1" applyBorder="1" applyAlignment="1">
      <alignment horizontal="center" vertical="center" wrapText="1"/>
    </xf>
    <xf numFmtId="0" fontId="29" fillId="25" borderId="0" xfId="0" applyFont="1" applyFill="1" applyAlignment="1">
      <alignment horizontal="center" vertical="center" wrapText="1"/>
    </xf>
    <xf numFmtId="49" fontId="50" fillId="0" borderId="0" xfId="0" applyNumberFormat="1" applyFont="1" applyAlignment="1">
      <alignment horizontal="right" vertical="center" wrapText="1"/>
    </xf>
    <xf numFmtId="49" fontId="54" fillId="0" borderId="0" xfId="0" applyNumberFormat="1" applyFont="1" applyAlignment="1">
      <alignment horizontal="center" vertical="center" wrapText="1"/>
    </xf>
    <xf numFmtId="0" fontId="26" fillId="25" borderId="0" xfId="0" applyFont="1" applyFill="1" applyAlignment="1">
      <alignment horizontal="center"/>
    </xf>
    <xf numFmtId="49" fontId="26" fillId="25" borderId="0" xfId="0" applyNumberFormat="1" applyFont="1" applyFill="1" applyAlignment="1">
      <alignment horizontal="left" vertical="center" wrapText="1"/>
    </xf>
    <xf numFmtId="49" fontId="27" fillId="25" borderId="0" xfId="0" applyNumberFormat="1" applyFont="1" applyFill="1" applyAlignment="1">
      <alignment horizontal="left" vertical="center" wrapText="1"/>
    </xf>
    <xf numFmtId="49" fontId="26" fillId="25" borderId="0" xfId="0" applyNumberFormat="1" applyFont="1" applyFill="1" applyAlignment="1">
      <alignment horizontal="left" vertical="center"/>
    </xf>
    <xf numFmtId="49" fontId="29" fillId="25" borderId="0" xfId="0" applyNumberFormat="1" applyFont="1" applyFill="1" applyAlignment="1">
      <alignment horizontal="right" vertical="center"/>
    </xf>
    <xf numFmtId="49" fontId="27" fillId="25" borderId="0" xfId="0" applyNumberFormat="1" applyFont="1" applyFill="1" applyAlignment="1">
      <alignment horizontal="right" vertical="center"/>
    </xf>
    <xf numFmtId="49" fontId="26" fillId="25" borderId="0" xfId="0" applyNumberFormat="1" applyFont="1" applyFill="1" applyAlignment="1">
      <alignment horizontal="center" vertical="center" wrapText="1"/>
    </xf>
    <xf numFmtId="49" fontId="26" fillId="25" borderId="0" xfId="0" applyNumberFormat="1" applyFont="1" applyFill="1" applyAlignment="1">
      <alignment vertical="center" wrapText="1"/>
    </xf>
    <xf numFmtId="0" fontId="80" fillId="25" borderId="11" xfId="0" applyFont="1" applyFill="1" applyBorder="1" applyAlignment="1">
      <alignment horizontal="center" wrapText="1"/>
    </xf>
    <xf numFmtId="0" fontId="80" fillId="25" borderId="13" xfId="0" applyFont="1" applyFill="1" applyBorder="1" applyAlignment="1">
      <alignment horizontal="center" wrapText="1"/>
    </xf>
    <xf numFmtId="49" fontId="27" fillId="25" borderId="10" xfId="0" applyNumberFormat="1" applyFont="1" applyFill="1" applyBorder="1" applyAlignment="1">
      <alignment horizontal="center" vertical="center" wrapText="1"/>
    </xf>
    <xf numFmtId="49" fontId="58" fillId="0" borderId="0" xfId="0" applyNumberFormat="1" applyFont="1" applyAlignment="1">
      <alignment horizontal="left" vertical="center" wrapText="1"/>
    </xf>
    <xf numFmtId="49" fontId="70" fillId="0" borderId="0" xfId="0" applyNumberFormat="1" applyFont="1" applyAlignment="1">
      <alignment horizontal="center" vertical="center" wrapText="1"/>
    </xf>
    <xf numFmtId="49" fontId="77" fillId="0" borderId="0" xfId="0" applyNumberFormat="1" applyFont="1" applyAlignment="1">
      <alignment horizontal="center" vertical="center" wrapText="1"/>
    </xf>
    <xf numFmtId="49" fontId="57" fillId="0" borderId="0" xfId="0" applyNumberFormat="1" applyFont="1" applyAlignment="1">
      <alignment vertical="center" wrapText="1"/>
    </xf>
    <xf numFmtId="180" fontId="66" fillId="0" borderId="10" xfId="147" applyNumberFormat="1" applyFont="1" applyFill="1" applyBorder="1" applyAlignment="1">
      <alignment horizontal="center" vertical="center" wrapText="1"/>
    </xf>
    <xf numFmtId="0" fontId="66" fillId="25" borderId="10" xfId="0" applyFont="1" applyFill="1" applyBorder="1" applyAlignment="1">
      <alignment horizontal="center" vertical="center" wrapText="1"/>
    </xf>
    <xf numFmtId="49" fontId="57" fillId="0" borderId="0" xfId="0" applyNumberFormat="1" applyFont="1" applyAlignment="1">
      <alignment horizontal="left" vertical="center"/>
    </xf>
    <xf numFmtId="49" fontId="57" fillId="0" borderId="0" xfId="0" applyNumberFormat="1" applyFont="1" applyAlignment="1">
      <alignment horizontal="left" vertical="center" wrapText="1"/>
    </xf>
    <xf numFmtId="49" fontId="61" fillId="0" borderId="0" xfId="0" applyNumberFormat="1" applyFont="1" applyAlignment="1">
      <alignment horizontal="right" vertical="center"/>
    </xf>
    <xf numFmtId="49" fontId="58" fillId="0" borderId="0" xfId="0" applyNumberFormat="1" applyFont="1" applyAlignment="1">
      <alignment horizontal="right" vertical="center"/>
    </xf>
    <xf numFmtId="49" fontId="66" fillId="0" borderId="10" xfId="147" applyNumberFormat="1" applyFont="1" applyFill="1" applyBorder="1" applyAlignment="1">
      <alignment horizontal="center" vertical="center" wrapText="1"/>
    </xf>
    <xf numFmtId="0" fontId="66" fillId="0" borderId="10" xfId="0" applyFont="1" applyBorder="1" applyAlignment="1">
      <alignment horizontal="center" vertical="center" wrapText="1"/>
    </xf>
    <xf numFmtId="49" fontId="69" fillId="0" borderId="10" xfId="0" applyNumberFormat="1" applyFont="1" applyBorder="1" applyAlignment="1">
      <alignment horizontal="center" vertical="center" wrapText="1"/>
    </xf>
    <xf numFmtId="0" fontId="71" fillId="0" borderId="10" xfId="0" applyFont="1" applyBorder="1" applyAlignment="1">
      <alignment horizontal="center" vertical="center" wrapText="1"/>
    </xf>
    <xf numFmtId="49" fontId="66" fillId="0" borderId="10" xfId="0" applyNumberFormat="1" applyFont="1" applyBorder="1" applyAlignment="1">
      <alignment horizontal="center" vertical="center" wrapText="1"/>
    </xf>
    <xf numFmtId="0" fontId="71" fillId="0" borderId="10" xfId="161" applyFont="1" applyBorder="1" applyAlignment="1">
      <alignment horizontal="center" vertical="center" wrapText="1"/>
    </xf>
    <xf numFmtId="49" fontId="68" fillId="0" borderId="11" xfId="0" applyNumberFormat="1" applyFont="1" applyBorder="1" applyAlignment="1">
      <alignment horizontal="center" vertical="top" wrapText="1"/>
    </xf>
    <xf numFmtId="49" fontId="68" fillId="0" borderId="12" xfId="0" applyNumberFormat="1" applyFont="1" applyBorder="1" applyAlignment="1">
      <alignment horizontal="center" vertical="top" wrapText="1"/>
    </xf>
    <xf numFmtId="49" fontId="68" fillId="0" borderId="13" xfId="0" applyNumberFormat="1" applyFont="1" applyBorder="1" applyAlignment="1">
      <alignment horizontal="center" vertical="top" wrapText="1"/>
    </xf>
    <xf numFmtId="49" fontId="68" fillId="0" borderId="10" xfId="0" applyNumberFormat="1" applyFont="1" applyBorder="1" applyAlignment="1">
      <alignment horizontal="center" vertical="top" wrapText="1"/>
    </xf>
    <xf numFmtId="49" fontId="69" fillId="0" borderId="10" xfId="0" applyNumberFormat="1" applyFont="1" applyBorder="1" applyAlignment="1">
      <alignment horizontal="left" vertical="center" wrapText="1"/>
    </xf>
    <xf numFmtId="49" fontId="74" fillId="25" borderId="10" xfId="0" applyNumberFormat="1" applyFont="1" applyFill="1" applyBorder="1" applyAlignment="1">
      <alignment horizontal="left" vertical="center" wrapText="1"/>
    </xf>
    <xf numFmtId="49" fontId="66" fillId="25" borderId="10" xfId="0" applyNumberFormat="1" applyFont="1" applyFill="1" applyBorder="1" applyAlignment="1">
      <alignment horizontal="left" vertical="center" wrapText="1"/>
    </xf>
    <xf numFmtId="49" fontId="26" fillId="25" borderId="10" xfId="147" applyNumberFormat="1" applyFont="1" applyFill="1" applyBorder="1" applyAlignment="1">
      <alignment horizontal="center" vertical="center" wrapText="1"/>
    </xf>
    <xf numFmtId="0" fontId="26" fillId="25" borderId="10" xfId="0" applyFont="1" applyFill="1" applyBorder="1" applyAlignment="1">
      <alignment horizontal="center" vertical="center" wrapText="1"/>
    </xf>
    <xf numFmtId="49" fontId="26" fillId="25" borderId="10" xfId="0" applyNumberFormat="1" applyFont="1" applyFill="1" applyBorder="1" applyAlignment="1">
      <alignment horizontal="center" vertical="center" wrapText="1"/>
    </xf>
    <xf numFmtId="0" fontId="27" fillId="25" borderId="10" xfId="0" applyFont="1" applyFill="1" applyBorder="1" applyAlignment="1">
      <alignment horizontal="center" vertical="center" wrapText="1"/>
    </xf>
    <xf numFmtId="9" fontId="27" fillId="25" borderId="10" xfId="148" applyFont="1" applyFill="1" applyBorder="1" applyAlignment="1">
      <alignment horizontal="center" vertical="center" wrapText="1"/>
    </xf>
    <xf numFmtId="3" fontId="27" fillId="25" borderId="10" xfId="0" applyNumberFormat="1" applyFont="1" applyFill="1" applyBorder="1" applyAlignment="1">
      <alignment horizontal="center" vertical="center" wrapText="1"/>
    </xf>
    <xf numFmtId="180" fontId="26" fillId="25" borderId="10" xfId="147" applyNumberFormat="1" applyFont="1" applyFill="1" applyBorder="1" applyAlignment="1">
      <alignment horizontal="center" vertical="center" wrapText="1"/>
    </xf>
    <xf numFmtId="9" fontId="27" fillId="25" borderId="10" xfId="148" applyFont="1" applyFill="1" applyBorder="1" applyAlignment="1">
      <alignment horizontal="center" vertical="center"/>
    </xf>
    <xf numFmtId="49" fontId="26" fillId="25" borderId="10" xfId="147" applyNumberFormat="1" applyFont="1" applyFill="1" applyBorder="1" applyAlignment="1">
      <alignment horizontal="center" vertical="center" wrapText="1"/>
    </xf>
    <xf numFmtId="0" fontId="26" fillId="25" borderId="10" xfId="0" applyFont="1" applyFill="1" applyBorder="1" applyAlignment="1">
      <alignment horizontal="center" vertical="center" wrapText="1"/>
    </xf>
    <xf numFmtId="180" fontId="26" fillId="25" borderId="10" xfId="147" applyNumberFormat="1" applyFont="1" applyFill="1" applyBorder="1" applyAlignment="1">
      <alignment horizontal="center" vertical="center" wrapText="1"/>
    </xf>
    <xf numFmtId="0" fontId="27" fillId="0" borderId="10" xfId="0" applyFont="1" applyBorder="1" applyAlignment="1">
      <alignment vertical="top" wrapText="1"/>
    </xf>
    <xf numFmtId="49" fontId="83" fillId="25" borderId="10" xfId="160" applyNumberFormat="1" applyFont="1" applyFill="1" applyBorder="1" applyAlignment="1">
      <alignment horizontal="center" vertical="center" wrapText="1"/>
    </xf>
    <xf numFmtId="49" fontId="84" fillId="25" borderId="10" xfId="160" applyNumberFormat="1" applyFont="1" applyFill="1" applyBorder="1" applyAlignment="1">
      <alignment horizontal="center" vertical="center" wrapText="1"/>
    </xf>
  </cellXfs>
  <cellStyles count="166">
    <cellStyle name="??" xfId="1" xr:uid="{00000000-0005-0000-0000-000000000000}"/>
    <cellStyle name="?? [0.00]_PRODUCT DETAIL Q1" xfId="2" xr:uid="{00000000-0005-0000-0000-000001000000}"/>
    <cellStyle name="?? [0]" xfId="3" xr:uid="{00000000-0005-0000-0000-000002000000}"/>
    <cellStyle name="???? [0.00]_PRODUCT DETAIL Q1" xfId="4" xr:uid="{00000000-0005-0000-0000-000003000000}"/>
    <cellStyle name="????_PRODUCT DETAIL Q1" xfId="5" xr:uid="{00000000-0005-0000-0000-000004000000}"/>
    <cellStyle name="???_HOBONG" xfId="6" xr:uid="{00000000-0005-0000-0000-000005000000}"/>
    <cellStyle name="??_(????)??????" xfId="7" xr:uid="{00000000-0005-0000-0000-000006000000}"/>
    <cellStyle name="20% - Accent1 2" xfId="8" xr:uid="{00000000-0005-0000-0000-000007000000}"/>
    <cellStyle name="20% - Accent2 2" xfId="9" xr:uid="{00000000-0005-0000-0000-000008000000}"/>
    <cellStyle name="20% - Accent3 2" xfId="10" xr:uid="{00000000-0005-0000-0000-000009000000}"/>
    <cellStyle name="20% - Accent4 2" xfId="11" xr:uid="{00000000-0005-0000-0000-00000A000000}"/>
    <cellStyle name="20% - Accent5 2" xfId="12" xr:uid="{00000000-0005-0000-0000-00000B000000}"/>
    <cellStyle name="20% - Accent6 2" xfId="13" xr:uid="{00000000-0005-0000-0000-00000C000000}"/>
    <cellStyle name="40% - Accent1 2" xfId="14" xr:uid="{00000000-0005-0000-0000-00000D000000}"/>
    <cellStyle name="40% - Accent2 2" xfId="15" xr:uid="{00000000-0005-0000-0000-00000E000000}"/>
    <cellStyle name="40% - Accent3 2" xfId="16" xr:uid="{00000000-0005-0000-0000-00000F000000}"/>
    <cellStyle name="40% - Accent4 2" xfId="17" xr:uid="{00000000-0005-0000-0000-000010000000}"/>
    <cellStyle name="40% - Accent5 2" xfId="18" xr:uid="{00000000-0005-0000-0000-000011000000}"/>
    <cellStyle name="40% - Accent6 2" xfId="19" xr:uid="{00000000-0005-0000-0000-000012000000}"/>
    <cellStyle name="60% - Accent1 2" xfId="20" xr:uid="{00000000-0005-0000-0000-000013000000}"/>
    <cellStyle name="60% - Accent2 2" xfId="21" xr:uid="{00000000-0005-0000-0000-000014000000}"/>
    <cellStyle name="60% - Accent3 2" xfId="22" xr:uid="{00000000-0005-0000-0000-000015000000}"/>
    <cellStyle name="60% - Accent4 2" xfId="23" xr:uid="{00000000-0005-0000-0000-000016000000}"/>
    <cellStyle name="60% - Accent5 2" xfId="24" xr:uid="{00000000-0005-0000-0000-000017000000}"/>
    <cellStyle name="60% - Accent6 2" xfId="25" xr:uid="{00000000-0005-0000-0000-000018000000}"/>
    <cellStyle name="Accent1 2" xfId="26" xr:uid="{00000000-0005-0000-0000-000019000000}"/>
    <cellStyle name="Accent2 2" xfId="27" xr:uid="{00000000-0005-0000-0000-00001A000000}"/>
    <cellStyle name="Accent3 2" xfId="28" xr:uid="{00000000-0005-0000-0000-00001B000000}"/>
    <cellStyle name="Accent4 2" xfId="29" xr:uid="{00000000-0005-0000-0000-00001C000000}"/>
    <cellStyle name="Accent5 2" xfId="30" xr:uid="{00000000-0005-0000-0000-00001D000000}"/>
    <cellStyle name="Accent6 2" xfId="31" xr:uid="{00000000-0005-0000-0000-00001E000000}"/>
    <cellStyle name="AeE­ [0]_INQUIRY ¿µ¾÷AßAø " xfId="32" xr:uid="{00000000-0005-0000-0000-00001F000000}"/>
    <cellStyle name="AeE­_INQUIRY ¿µ¾÷AßAø " xfId="33" xr:uid="{00000000-0005-0000-0000-000020000000}"/>
    <cellStyle name="AÞ¸¶ [0]_INQUIRY ¿?¾÷AßAø " xfId="34" xr:uid="{00000000-0005-0000-0000-000021000000}"/>
    <cellStyle name="AÞ¸¶_INQUIRY ¿?¾÷AßAø " xfId="35" xr:uid="{00000000-0005-0000-0000-000022000000}"/>
    <cellStyle name="Bad 2" xfId="36" xr:uid="{00000000-0005-0000-0000-000023000000}"/>
    <cellStyle name="C?AØ_¿?¾÷CoE² " xfId="37" xr:uid="{00000000-0005-0000-0000-000024000000}"/>
    <cellStyle name="Calculation 2" xfId="38" xr:uid="{00000000-0005-0000-0000-000025000000}"/>
    <cellStyle name="Check Cell 2" xfId="39" xr:uid="{00000000-0005-0000-0000-000026000000}"/>
    <cellStyle name="Comma" xfId="147" builtinId="3"/>
    <cellStyle name="Comma 11" xfId="164" xr:uid="{00000000-0005-0000-0000-000028000000}"/>
    <cellStyle name="Comma 2" xfId="40" xr:uid="{00000000-0005-0000-0000-000029000000}"/>
    <cellStyle name="Comma 2 2" xfId="41" xr:uid="{00000000-0005-0000-0000-00002A000000}"/>
    <cellStyle name="Comma 2 3 2" xfId="42" xr:uid="{00000000-0005-0000-0000-00002B000000}"/>
    <cellStyle name="Comma 21" xfId="157" xr:uid="{00000000-0005-0000-0000-00002C000000}"/>
    <cellStyle name="Comma 3" xfId="43" xr:uid="{00000000-0005-0000-0000-00002D000000}"/>
    <cellStyle name="Comma0" xfId="44" xr:uid="{00000000-0005-0000-0000-00002E000000}"/>
    <cellStyle name="Currency0" xfId="45" xr:uid="{00000000-0005-0000-0000-00002F000000}"/>
    <cellStyle name="Date" xfId="46" xr:uid="{00000000-0005-0000-0000-000030000000}"/>
    <cellStyle name="Dezimal [0]_UXO VII" xfId="47" xr:uid="{00000000-0005-0000-0000-000031000000}"/>
    <cellStyle name="Dezimal_UXO VII" xfId="48" xr:uid="{00000000-0005-0000-0000-000032000000}"/>
    <cellStyle name="Explanatory Text 2" xfId="49" xr:uid="{00000000-0005-0000-0000-000033000000}"/>
    <cellStyle name="Fixed" xfId="50" xr:uid="{00000000-0005-0000-0000-000034000000}"/>
    <cellStyle name="Good 2" xfId="51" xr:uid="{00000000-0005-0000-0000-000035000000}"/>
    <cellStyle name="Header1" xfId="52" xr:uid="{00000000-0005-0000-0000-000036000000}"/>
    <cellStyle name="Header2" xfId="53" xr:uid="{00000000-0005-0000-0000-000037000000}"/>
    <cellStyle name="Heading 1" xfId="54" builtinId="16" customBuiltin="1"/>
    <cellStyle name="Heading 1 2" xfId="55" xr:uid="{00000000-0005-0000-0000-000039000000}"/>
    <cellStyle name="Heading 1 3" xfId="56" xr:uid="{00000000-0005-0000-0000-00003A000000}"/>
    <cellStyle name="Heading 1 4" xfId="57" xr:uid="{00000000-0005-0000-0000-00003B000000}"/>
    <cellStyle name="Heading 1 5" xfId="58" xr:uid="{00000000-0005-0000-0000-00003C000000}"/>
    <cellStyle name="Heading 2" xfId="59" builtinId="17" customBuiltin="1"/>
    <cellStyle name="Heading 2 2" xfId="60" xr:uid="{00000000-0005-0000-0000-00003E000000}"/>
    <cellStyle name="Heading 2 3" xfId="61" xr:uid="{00000000-0005-0000-0000-00003F000000}"/>
    <cellStyle name="Heading 2 4" xfId="62" xr:uid="{00000000-0005-0000-0000-000040000000}"/>
    <cellStyle name="Heading 2 5" xfId="63" xr:uid="{00000000-0005-0000-0000-000041000000}"/>
    <cellStyle name="Heading 3 2" xfId="64" xr:uid="{00000000-0005-0000-0000-000042000000}"/>
    <cellStyle name="Heading 4 2" xfId="65" xr:uid="{00000000-0005-0000-0000-000043000000}"/>
    <cellStyle name="Heading1" xfId="66" xr:uid="{00000000-0005-0000-0000-000044000000}"/>
    <cellStyle name="Heading2" xfId="67" xr:uid="{00000000-0005-0000-0000-000045000000}"/>
    <cellStyle name="Hyperlink" xfId="160" builtinId="8"/>
    <cellStyle name="Input 2" xfId="68" xr:uid="{00000000-0005-0000-0000-000047000000}"/>
    <cellStyle name="Linked Cell 2" xfId="69" xr:uid="{00000000-0005-0000-0000-000048000000}"/>
    <cellStyle name="Neutral 2" xfId="70" xr:uid="{00000000-0005-0000-0000-000049000000}"/>
    <cellStyle name="Normal" xfId="0" builtinId="0"/>
    <cellStyle name="Normal - Style1" xfId="71" xr:uid="{00000000-0005-0000-0000-00004B000000}"/>
    <cellStyle name="Normal 10" xfId="72" xr:uid="{00000000-0005-0000-0000-00004C000000}"/>
    <cellStyle name="Normal 10 2" xfId="165" xr:uid="{00000000-0005-0000-0000-00004D000000}"/>
    <cellStyle name="Normal 11" xfId="73" xr:uid="{00000000-0005-0000-0000-00004E000000}"/>
    <cellStyle name="Normal 12" xfId="74" xr:uid="{00000000-0005-0000-0000-00004F000000}"/>
    <cellStyle name="Normal 13" xfId="75" xr:uid="{00000000-0005-0000-0000-000050000000}"/>
    <cellStyle name="Normal 14" xfId="76" xr:uid="{00000000-0005-0000-0000-000051000000}"/>
    <cellStyle name="Normal 14 2" xfId="156" xr:uid="{00000000-0005-0000-0000-000052000000}"/>
    <cellStyle name="Normal 15" xfId="77" xr:uid="{00000000-0005-0000-0000-000053000000}"/>
    <cellStyle name="Normal 16" xfId="78" xr:uid="{00000000-0005-0000-0000-000054000000}"/>
    <cellStyle name="Normal 17" xfId="79" xr:uid="{00000000-0005-0000-0000-000055000000}"/>
    <cellStyle name="Normal 18" xfId="80" xr:uid="{00000000-0005-0000-0000-000056000000}"/>
    <cellStyle name="Normal 189" xfId="81" xr:uid="{00000000-0005-0000-0000-000057000000}"/>
    <cellStyle name="Normal 189 2" xfId="82" xr:uid="{00000000-0005-0000-0000-000058000000}"/>
    <cellStyle name="Normal 19" xfId="83" xr:uid="{00000000-0005-0000-0000-000059000000}"/>
    <cellStyle name="Normal 2" xfId="84" xr:uid="{00000000-0005-0000-0000-00005A000000}"/>
    <cellStyle name="Normal 2 2" xfId="85" xr:uid="{00000000-0005-0000-0000-00005B000000}"/>
    <cellStyle name="Normal 2 2 2" xfId="161" xr:uid="{00000000-0005-0000-0000-00005C000000}"/>
    <cellStyle name="Normal 2 3" xfId="86" xr:uid="{00000000-0005-0000-0000-00005D000000}"/>
    <cellStyle name="Normal 2 4" xfId="150" xr:uid="{00000000-0005-0000-0000-00005E000000}"/>
    <cellStyle name="Normal 2 5" xfId="154" xr:uid="{00000000-0005-0000-0000-00005F000000}"/>
    <cellStyle name="Normal 20" xfId="87" xr:uid="{00000000-0005-0000-0000-000060000000}"/>
    <cellStyle name="Normal 21" xfId="149" xr:uid="{00000000-0005-0000-0000-000061000000}"/>
    <cellStyle name="Normal 22" xfId="88" xr:uid="{00000000-0005-0000-0000-000062000000}"/>
    <cellStyle name="Normal 23" xfId="153" xr:uid="{00000000-0005-0000-0000-000063000000}"/>
    <cellStyle name="Normal 23 2" xfId="155" xr:uid="{00000000-0005-0000-0000-000064000000}"/>
    <cellStyle name="Normal 24" xfId="158" xr:uid="{00000000-0005-0000-0000-000065000000}"/>
    <cellStyle name="Normal 25" xfId="159" xr:uid="{00000000-0005-0000-0000-000066000000}"/>
    <cellStyle name="Normal 3" xfId="89" xr:uid="{00000000-0005-0000-0000-000067000000}"/>
    <cellStyle name="Normal 3 2" xfId="90" xr:uid="{00000000-0005-0000-0000-000068000000}"/>
    <cellStyle name="Normal 3 2 2 2 3 2 3" xfId="163" xr:uid="{00000000-0005-0000-0000-000069000000}"/>
    <cellStyle name="Normal 3 4" xfId="162" xr:uid="{00000000-0005-0000-0000-00006A000000}"/>
    <cellStyle name="Normal 33" xfId="152" xr:uid="{00000000-0005-0000-0000-00006B000000}"/>
    <cellStyle name="Normal 4" xfId="91" xr:uid="{00000000-0005-0000-0000-00006C000000}"/>
    <cellStyle name="Normal 4 2" xfId="92" xr:uid="{00000000-0005-0000-0000-00006D000000}"/>
    <cellStyle name="Normal 5" xfId="93" xr:uid="{00000000-0005-0000-0000-00006E000000}"/>
    <cellStyle name="Normal 5 2" xfId="94" xr:uid="{00000000-0005-0000-0000-00006F000000}"/>
    <cellStyle name="Normal 5 3" xfId="95" xr:uid="{00000000-0005-0000-0000-000070000000}"/>
    <cellStyle name="Normal 59" xfId="96" xr:uid="{00000000-0005-0000-0000-000071000000}"/>
    <cellStyle name="Normal 6" xfId="97" xr:uid="{00000000-0005-0000-0000-000072000000}"/>
    <cellStyle name="Normal 6 2" xfId="151" xr:uid="{00000000-0005-0000-0000-000073000000}"/>
    <cellStyle name="Normal 60" xfId="98" xr:uid="{00000000-0005-0000-0000-000074000000}"/>
    <cellStyle name="Normal 62" xfId="99" xr:uid="{00000000-0005-0000-0000-000075000000}"/>
    <cellStyle name="Normal 64" xfId="100" xr:uid="{00000000-0005-0000-0000-000076000000}"/>
    <cellStyle name="Normal 65" xfId="101" xr:uid="{00000000-0005-0000-0000-000077000000}"/>
    <cellStyle name="Normal 68" xfId="102" xr:uid="{00000000-0005-0000-0000-000078000000}"/>
    <cellStyle name="Normal 69" xfId="103" xr:uid="{00000000-0005-0000-0000-000079000000}"/>
    <cellStyle name="Normal 7" xfId="104" xr:uid="{00000000-0005-0000-0000-00007A000000}"/>
    <cellStyle name="Normal 70" xfId="105" xr:uid="{00000000-0005-0000-0000-00007B000000}"/>
    <cellStyle name="Normal 71" xfId="106" xr:uid="{00000000-0005-0000-0000-00007C000000}"/>
    <cellStyle name="Normal 73" xfId="107" xr:uid="{00000000-0005-0000-0000-00007D000000}"/>
    <cellStyle name="Normal 74" xfId="108" xr:uid="{00000000-0005-0000-0000-00007E000000}"/>
    <cellStyle name="Normal 75" xfId="109" xr:uid="{00000000-0005-0000-0000-00007F000000}"/>
    <cellStyle name="Normal 8" xfId="110" xr:uid="{00000000-0005-0000-0000-000080000000}"/>
    <cellStyle name="Normal 9" xfId="111" xr:uid="{00000000-0005-0000-0000-000081000000}"/>
    <cellStyle name="Note 2" xfId="112" xr:uid="{00000000-0005-0000-0000-000084000000}"/>
    <cellStyle name="omma [0]_Mktg Prog" xfId="113" xr:uid="{00000000-0005-0000-0000-000085000000}"/>
    <cellStyle name="ormal_Sheet1_1" xfId="114" xr:uid="{00000000-0005-0000-0000-000086000000}"/>
    <cellStyle name="Output 2" xfId="115" xr:uid="{00000000-0005-0000-0000-000087000000}"/>
    <cellStyle name="Percent" xfId="148" builtinId="5"/>
    <cellStyle name="Percent 2" xfId="116" xr:uid="{00000000-0005-0000-0000-000089000000}"/>
    <cellStyle name="Percent 3" xfId="117" xr:uid="{00000000-0005-0000-0000-00008A000000}"/>
    <cellStyle name="Percent 4" xfId="118" xr:uid="{00000000-0005-0000-0000-00008B000000}"/>
    <cellStyle name="Title 2" xfId="119" xr:uid="{00000000-0005-0000-0000-00008C000000}"/>
    <cellStyle name="Total" xfId="120" builtinId="25" customBuiltin="1"/>
    <cellStyle name="Total 2" xfId="121" xr:uid="{00000000-0005-0000-0000-00008E000000}"/>
    <cellStyle name="Total 3" xfId="122" xr:uid="{00000000-0005-0000-0000-00008F000000}"/>
    <cellStyle name="Total 4" xfId="123" xr:uid="{00000000-0005-0000-0000-000090000000}"/>
    <cellStyle name="Total 5" xfId="124" xr:uid="{00000000-0005-0000-0000-000091000000}"/>
    <cellStyle name="Vidu1" xfId="125" xr:uid="{00000000-0005-0000-0000-000092000000}"/>
    <cellStyle name="vnhead1" xfId="126" xr:uid="{00000000-0005-0000-0000-000093000000}"/>
    <cellStyle name="vnhead3" xfId="127" xr:uid="{00000000-0005-0000-0000-000094000000}"/>
    <cellStyle name="vnhead3 2" xfId="128" xr:uid="{00000000-0005-0000-0000-000095000000}"/>
    <cellStyle name="vntxt1" xfId="129" xr:uid="{00000000-0005-0000-0000-000096000000}"/>
    <cellStyle name="vntxt1 2" xfId="130" xr:uid="{00000000-0005-0000-0000-000097000000}"/>
    <cellStyle name="vntxt2" xfId="131" xr:uid="{00000000-0005-0000-0000-000098000000}"/>
    <cellStyle name="Währung [0]_UXO VII" xfId="132" xr:uid="{00000000-0005-0000-0000-000099000000}"/>
    <cellStyle name="Währung_UXO VII" xfId="133" xr:uid="{00000000-0005-0000-0000-00009A000000}"/>
    <cellStyle name="Warning Text 2" xfId="134" xr:uid="{00000000-0005-0000-0000-00009B000000}"/>
    <cellStyle name="똿뗦먛귟 [0.00]_PRODUCT DETAIL Q1" xfId="135" xr:uid="{00000000-0005-0000-0000-00009C000000}"/>
    <cellStyle name="똿뗦먛귟_PRODUCT DETAIL Q1" xfId="136" xr:uid="{00000000-0005-0000-0000-00009D000000}"/>
    <cellStyle name="믅됞 [0.00]_PRODUCT DETAIL Q1" xfId="137" xr:uid="{00000000-0005-0000-0000-00009E000000}"/>
    <cellStyle name="믅됞_PRODUCT DETAIL Q1" xfId="138" xr:uid="{00000000-0005-0000-0000-00009F000000}"/>
    <cellStyle name="백분율_HOBONG" xfId="139" xr:uid="{00000000-0005-0000-0000-0000A0000000}"/>
    <cellStyle name="뷭?_BOOKSHIP" xfId="140" xr:uid="{00000000-0005-0000-0000-0000A1000000}"/>
    <cellStyle name="콤마 [0]_ 비목별 월별기술 " xfId="141" xr:uid="{00000000-0005-0000-0000-0000A2000000}"/>
    <cellStyle name="콤마_ 비목별 월별기술 " xfId="142" xr:uid="{00000000-0005-0000-0000-0000A3000000}"/>
    <cellStyle name="통화 [0]_1202" xfId="143" xr:uid="{00000000-0005-0000-0000-0000A4000000}"/>
    <cellStyle name="통화_1202" xfId="144" xr:uid="{00000000-0005-0000-0000-0000A5000000}"/>
    <cellStyle name="표준_(정보부문)월별인원계획" xfId="145" xr:uid="{00000000-0005-0000-0000-0000A6000000}"/>
    <cellStyle name="표준_kc-elec system check list" xfId="146" xr:uid="{00000000-0005-0000-0000-0000A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externalLink" Target="externalLinks/externalLink6.xml"/><Relationship Id="rId10" Type="http://schemas.openxmlformats.org/officeDocument/2006/relationships/externalLink" Target="externalLinks/externalLink1.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calcChain" Target="calcChain.xml"/><Relationship Id="rId35"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37</xdr:col>
      <xdr:colOff>314325</xdr:colOff>
      <xdr:row>14</xdr:row>
      <xdr:rowOff>790575</xdr:rowOff>
    </xdr:from>
    <xdr:to>
      <xdr:col>44</xdr:col>
      <xdr:colOff>495300</xdr:colOff>
      <xdr:row>37</xdr:row>
      <xdr:rowOff>628650</xdr:rowOff>
    </xdr:to>
    <xdr:pic>
      <xdr:nvPicPr>
        <xdr:cNvPr id="3" name="Picture 2">
          <a:extLst>
            <a:ext uri="{FF2B5EF4-FFF2-40B4-BE49-F238E27FC236}">
              <a16:creationId xmlns:a16="http://schemas.microsoft.com/office/drawing/2014/main" id="{29DA354B-0E8E-F1B7-2033-B1347DF7E84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964400" y="2466975"/>
          <a:ext cx="5514975" cy="42005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cuong\cuong\2000\CONDENSA\instrumen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phuong\c\Tphuong\HSthau\HSthau01\Mien%20Bac\Caongan\HSbaogia\Sec_tq.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_phuong\my%20documents\My%20Documents\HS99\Cai%20Lan%20Port\Cai%20Lan%20Port%20Expansion%20Project_Package%20I%20(1,3%20&amp;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_phuong\my%20documents\My%20Documents\DONGIA\99_DG\DGIAXDCB.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h02\DULIEU%20(D)\T.Hieu\@K-Phu\BAOGIA\2001\Mien-bac\KCN_%20Thanglong\Nhachothue\No-3(27-7)%20(No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Khth03\data%20(d)\Documents%20and%20Settings\chennv\Desktop\KH%202009\DuthaoKH2007-09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K:\KH\KH200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Khth03\data%20(d)\Documents%20and%20Settings\chennv\Desktop\KH%202009\khaithac\Kehoach200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Kh02\DULIEU%20(D)\lan\VSP-th.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detail"/>
      <sheetName val="he so"/>
      <sheetName val="IND"/>
      <sheetName val="MAN"/>
      <sheetName val="EQU"/>
      <sheetName val="MANDET"/>
      <sheetName val="EQUDET"/>
      <sheetName val="TCO"/>
      <sheetName val="Sheet6"/>
      <sheetName val="Sheet7"/>
      <sheetName val="Sheet8"/>
      <sheetName val="Sheet9"/>
      <sheetName val="Sheet10"/>
      <sheetName val="Sheet11"/>
      <sheetName val="Sheet12"/>
      <sheetName val="Sheet13"/>
      <sheetName val="Sheet14"/>
      <sheetName val="Sheet15"/>
      <sheetName val="Sheet16"/>
      <sheetName val="Gia vat tu"/>
      <sheetName val="TH DA"/>
      <sheetName val="DT-XD"/>
      <sheetName val="VT"/>
      <sheetName val="Dutoan"/>
      <sheetName val="Chiet tinh"/>
      <sheetName val="Cable"/>
      <sheetName val="PL-NC"/>
      <sheetName val="PL-MAY"/>
      <sheetName val="GiaVT"/>
      <sheetName val="vat tu thu hoi"/>
      <sheetName val="XXXXXXXX"/>
      <sheetName val="00000000"/>
      <sheetName val="TH-DT"/>
      <sheetName val="CPXD"/>
      <sheetName val="VTC"/>
      <sheetName val="TKVT"/>
      <sheetName val="DongiaCT"/>
      <sheetName val="Betong"/>
      <sheetName val="DBDuong"/>
      <sheetName val="DBHe"/>
      <sheetName val="10000000"/>
      <sheetName val="dongia"/>
      <sheetName val="DQUDET"/>
      <sheetName val="Qheet9"/>
      <sheetName val="he_so"/>
      <sheetName val="Gia_vat_tu"/>
      <sheetName val="TH_DA"/>
      <sheetName val="Chiet_tinh"/>
      <sheetName val="vat_tu_thu_hoi"/>
      <sheetName val="Bieu TH giá"/>
      <sheetName val="Gia DT năm"/>
      <sheetName val="PT gia DT"/>
      <sheetName val="DGCTiet"/>
      <sheetName val="VL6_SL"/>
      <sheetName val="NC6_SL"/>
      <sheetName val="M6_SL"/>
      <sheetName val="Vữa6_SL"/>
      <sheetName val="CP6_SL"/>
      <sheetName val="VL6_ĐB"/>
      <sheetName val="Cước6_ĐB"/>
      <sheetName val="NC_ĐB"/>
      <sheetName val="M_ĐB"/>
      <sheetName val="Vữa6_ĐB"/>
      <sheetName val="CP6_DB"/>
      <sheetName val="Tám bản6_ĐB"/>
      <sheetName val="VL279"/>
      <sheetName val="Cuoc279"/>
      <sheetName val="Vữa279"/>
      <sheetName val="CP279"/>
      <sheetName val="Tấm bản 279"/>
      <sheetName val="PT VATTU"/>
      <sheetName val="Cto"/>
      <sheetName val="TT35"/>
      <sheetName val="Solieu"/>
      <sheetName val="Giacamay"/>
      <sheetName val="THTL"/>
      <sheetName val="luong"/>
      <sheetName val="Sheet1"/>
      <sheetName val="StartUp"/>
      <sheetName val="Sheet2"/>
      <sheetName val="Sheet3"/>
      <sheetName val="he_so1"/>
      <sheetName val="Gia_vat_tu1"/>
      <sheetName val="TH_DA1"/>
      <sheetName val="Chiet_tinh1"/>
      <sheetName val="vat_tu_thu_hoi1"/>
      <sheetName val="PT_VATTU"/>
      <sheetName val="he_so2"/>
      <sheetName val="Gia_vat_tu2"/>
      <sheetName val="TH_DA2"/>
      <sheetName val="Chiet_tinh2"/>
      <sheetName val="vat_tu_thu_hoi2"/>
      <sheetName val="he_so3"/>
      <sheetName val="Gia_vat_tu3"/>
      <sheetName val="TH_DA3"/>
      <sheetName val="Chiet_tinh3"/>
      <sheetName val="vat_tu_thu_hoi3"/>
      <sheetName val="he_so4"/>
      <sheetName val="Gia_vat_tu4"/>
      <sheetName val="TH_DA4"/>
      <sheetName val="Chiet_tinh4"/>
      <sheetName val="vat_tu_thu_hoi4"/>
      <sheetName val="TDTKP"/>
      <sheetName val="TONGKE3p "/>
      <sheetName val="DG "/>
      <sheetName val="Danh muc"/>
      <sheetName val="thiet bi(nb)1"/>
      <sheetName val="P.yeu cau 2"/>
      <sheetName val="thiet bi 3"/>
      <sheetName val="Ha vach(nb) 4"/>
      <sheetName val="P.yeu cau 5"/>
      <sheetName val="Ha vach 6"/>
      <sheetName val="K tao lo(nb) 7"/>
      <sheetName val="Dung dich khoan (nb) 8"/>
      <sheetName val="NT cot thep (nb) 9"/>
      <sheetName val="NT sonic (nb)10"/>
      <sheetName val="vat lieu (nb)11"/>
      <sheetName val="Do BT (nb) 12"/>
      <sheetName val="P.yeu cau 13"/>
      <sheetName val="K tao lo 14"/>
      <sheetName val="Dung dich khoan 15"/>
      <sheetName val="NT cot thep 16"/>
      <sheetName val="NT sonic 17"/>
      <sheetName val="vat lieu 18"/>
      <sheetName val="Do BT19"/>
      <sheetName val="BB lay mau BT 20"/>
      <sheetName val="BB tong hop TGTC 21"/>
      <sheetName val="P.yeu cau 22"/>
      <sheetName val="000000"/>
      <sheetName val="P.yeu cau 23"/>
      <sheetName val="Theo doi bom vua 24"/>
      <sheetName val="P.yeu cau 23 (2)"/>
      <sheetName val="Bao cao CKN"/>
      <sheetName val="MTP"/>
      <sheetName val="MTP1"/>
      <sheetName val="giathanh1"/>
      <sheetName val="Tienlg"/>
      <sheetName val="#REF"/>
      <sheetName val="instrument"/>
      <sheetName val="Giai trinh"/>
      <sheetName val="TienLuong"/>
      <sheetName val="REGION"/>
      <sheetName val="OFFGRID"/>
      <sheetName val="gvl"/>
      <sheetName val="dongia (2)"/>
      <sheetName val="IBASE"/>
      <sheetName val="pnt-quot-#3"/>
      <sheetName val="coat&amp;wrap-qiot-#3"/>
      <sheetName val="chiet tinh dz22"/>
      <sheetName val="TDT"/>
      <sheetName val="bk04"/>
      <sheetName val="XL4Poppy"/>
      <sheetName val="LIST"/>
      <sheetName val="THCT"/>
      <sheetName val="THDZ0,4"/>
      <sheetName val="TH DZ35"/>
      <sheetName val="THTram"/>
      <sheetName val="cp&gt;10-ln&lt;10"/>
      <sheetName val="ln&lt;20"/>
      <sheetName val="T-goc"/>
      <sheetName val="mto rev.2(armor)"/>
      <sheetName val="Dgia vat tu"/>
      <sheetName val="Don gia_III"/>
      <sheetName val="TT_10KV"/>
    </sheetNames>
    <sheetDataSet>
      <sheetData sheetId="0"/>
      <sheetData sheetId="1"/>
      <sheetData sheetId="2" refreshError="1">
        <row r="1">
          <cell r="B1">
            <v>1</v>
          </cell>
        </row>
        <row r="2">
          <cell r="B2">
            <v>13808</v>
          </cell>
        </row>
        <row r="5">
          <cell r="B5">
            <v>1.67</v>
          </cell>
        </row>
        <row r="9">
          <cell r="B9">
            <v>13920</v>
          </cell>
        </row>
        <row r="10">
          <cell r="B10">
            <v>77338</v>
          </cell>
        </row>
        <row r="11">
          <cell r="B11">
            <v>53531</v>
          </cell>
        </row>
        <row r="13">
          <cell r="B13">
            <v>120000</v>
          </cell>
        </row>
        <row r="14">
          <cell r="B14">
            <v>3500</v>
          </cell>
        </row>
        <row r="15">
          <cell r="B15">
            <v>25000</v>
          </cell>
        </row>
        <row r="16">
          <cell r="B16">
            <v>3000</v>
          </cell>
        </row>
        <row r="17">
          <cell r="B17">
            <v>1200</v>
          </cell>
        </row>
        <row r="18">
          <cell r="B18">
            <v>800</v>
          </cell>
        </row>
        <row r="19">
          <cell r="B19">
            <v>2300</v>
          </cell>
        </row>
        <row r="20">
          <cell r="B20">
            <v>5750</v>
          </cell>
        </row>
        <row r="21">
          <cell r="B21">
            <v>1100</v>
          </cell>
        </row>
        <row r="22">
          <cell r="B22">
            <v>400</v>
          </cell>
        </row>
        <row r="23">
          <cell r="B23">
            <v>500</v>
          </cell>
        </row>
        <row r="24">
          <cell r="B24">
            <v>5000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sua"/>
      <sheetName val="DGchitiet"/>
      <sheetName val="Gia vat tu"/>
      <sheetName val="000"/>
      <sheetName val="KPVC-BD "/>
      <sheetName val="Sum"/>
      <sheetName val="dtxl"/>
      <sheetName val="DGchitiet "/>
      <sheetName val="Chi tiet"/>
      <sheetName val="[Sec_tq.xls࡝Bansua"/>
      <sheetName val="XL4Poppy"/>
      <sheetName val="_Sec_tq.xls࡝Bansua"/>
      <sheetName val="Gia_vat_tu"/>
      <sheetName val="KPVC-BD_"/>
      <sheetName val="DGchitiet_"/>
      <sheetName val="Chi_tiet"/>
      <sheetName val="[Sec_tq_xls࡝Bansua"/>
      <sheetName val=""/>
      <sheetName val="_Sec_tq_xls࡝Bansua"/>
      <sheetName val="_x0000__x0001__x0000_"/>
      <sheetName val="chitiet"/>
      <sheetName val="gtrinh"/>
      <sheetName val="THPDMoi  (2)"/>
      <sheetName val="KKKKKKKK"/>
      <sheetName val="[Sec_tq.xls?Bansua"/>
      <sheetName val="BK04"/>
      <sheetName val="?"/>
      <sheetName val="?_x0001_?"/>
      <sheetName val="????????"/>
      <sheetName val="KHOIK1"/>
      <sheetName val="_Sec_tq.xls_Bansua"/>
      <sheetName val="_"/>
      <sheetName val="__x0001__"/>
      <sheetName val="________"/>
      <sheetName val="Gia_vat_tu1"/>
      <sheetName val="KPVC-BD_1"/>
      <sheetName val="DGchitiet_1"/>
      <sheetName val="Chi_tiet1"/>
      <sheetName val="[Sec_tq_xls࡝Bansua1"/>
      <sheetName val="_Sec_tq_xls࡝Bansua1"/>
      <sheetName val="Gia_vat_tu2"/>
      <sheetName val="KPVC-BD_2"/>
      <sheetName val="DGchitiet_2"/>
      <sheetName val="Chi_tiet2"/>
      <sheetName val="Gia_vat_tu3"/>
      <sheetName val="KPVC-BD_3"/>
      <sheetName val="DGchitiet_3"/>
      <sheetName val="Chi_tiet3"/>
      <sheetName val="Gia_vat_tu4"/>
      <sheetName val="KPVC-BD_4"/>
      <sheetName val="DGchitiet_4"/>
      <sheetName val="Chi_tiet4"/>
      <sheetName val="4"/>
      <sheetName val="Sheet1"/>
      <sheetName val="Solieu"/>
      <sheetName val="[Sec_tq_xls?Bansua"/>
      <sheetName val="_Sec_tq.xls?Bansua"/>
      <sheetName val="_Sec_tq_xls?Bansua"/>
      <sheetName val="_Sec_tq_xls_Bansua"/>
      <sheetName val="Ct- DZ35kV"/>
      <sheetName val="gVL"/>
      <sheetName val="MTL$-INTER"/>
      <sheetName val="Detailed for Breakdown"/>
      <sheetName val="__x005f_x0001__"/>
      <sheetName val="Tongke"/>
      <sheetName val="ESTI."/>
      <sheetName val="MTP"/>
      <sheetName val="ChiDinhThau110ThoXuan"/>
      <sheetName val="chitimc"/>
      <sheetName val="BETON"/>
      <sheetName val="MTP1"/>
      <sheetName val="Sheet3"/>
      <sheetName val="giathanh1"/>
      <sheetName val="DZ 35"/>
      <sheetName val="Cto"/>
      <sheetName val="vcTC"/>
      <sheetName val="TONG HOP VL-NC"/>
      <sheetName val="DON GIA"/>
      <sheetName val="#ref"/>
      <sheetName val="DLDT"/>
      <sheetName val="DUTOANWB"/>
      <sheetName val="ChiTietDZ"/>
      <sheetName val="VuaBT"/>
      <sheetName val="LIST"/>
      <sheetName val="tt dz35"/>
      <sheetName val="Dinh Muc VT"/>
      <sheetName val="Tien Luong"/>
      <sheetName val="cp&gt;10-ln&lt;10"/>
      <sheetName val="ln&lt;20"/>
      <sheetName val="DI-ESTI"/>
      <sheetName val="sheet12"/>
      <sheetName val="TT35"/>
      <sheetName val="Don gia III"/>
      <sheetName val="Don gia CT"/>
      <sheetName val="dongia (2)"/>
      <sheetName val="mto rev.2(armor)"/>
    </sheetNames>
    <sheetDataSet>
      <sheetData sheetId="0"/>
      <sheetData sheetId="1"/>
      <sheetData sheetId="2" refreshError="1">
        <row r="16">
          <cell r="D16">
            <v>6682</v>
          </cell>
        </row>
        <row r="26">
          <cell r="P26">
            <v>233591.30900000001</v>
          </cell>
        </row>
        <row r="31">
          <cell r="J31">
            <v>346792.47000000003</v>
          </cell>
        </row>
      </sheetData>
      <sheetData sheetId="3"/>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ia vat tu"/>
      <sheetName val="SUMMARY"/>
      <sheetName val="explanation"/>
      <sheetName val="1"/>
      <sheetName val="SUM(3)"/>
      <sheetName val="3F"/>
      <sheetName val="3G"/>
      <sheetName val="3H"/>
      <sheetName val="3I"/>
      <sheetName val="3J"/>
      <sheetName val="3K"/>
      <sheetName val="3L"/>
      <sheetName val="3M"/>
      <sheetName val="3N"/>
      <sheetName val="3O"/>
      <sheetName val="3P"/>
      <sheetName val="3Q"/>
      <sheetName val="4C&amp;4D"/>
      <sheetName val="3Y"/>
      <sheetName val="Vat tu"/>
      <sheetName val="Gia_vat_tu"/>
      <sheetName val=""/>
      <sheetName val="CT35"/>
      <sheetName val="DGchitiet "/>
      <sheetName val="chiet tinh"/>
      <sheetName val="Sheet1"/>
      <sheetName val="TT-35KV+TBA"/>
      <sheetName val="MTC+NC"/>
      <sheetName val="DG"/>
      <sheetName val="TTDZ 679"/>
      <sheetName val="Gia_vat_tu1"/>
      <sheetName val="Vat_tu"/>
      <sheetName val="chiet_tinh"/>
      <sheetName val="Gia_vat_tu2"/>
      <sheetName val="Gia_vat_tu3"/>
      <sheetName val="Gia_vat_tu4"/>
      <sheetName val="LEGEND"/>
      <sheetName val="Cau tao cot dai"/>
      <sheetName val="Cai Lan Port Expansion Project_"/>
      <sheetName val="XL4Poppy"/>
      <sheetName val="Sheet12"/>
      <sheetName val="TT35"/>
      <sheetName val="MTP"/>
      <sheetName val="NEW-PANEL"/>
      <sheetName val="Quantity"/>
      <sheetName val="TONG HOP VL-NC"/>
      <sheetName val="DON GIA"/>
      <sheetName val="cp&gt;10-ln&lt;10"/>
      <sheetName val="ln&lt;20"/>
      <sheetName val="CHITIET VL-NC-TT1p"/>
      <sheetName val="vcTC"/>
      <sheetName val="__-BLDG"/>
      <sheetName val="CHITIET"/>
      <sheetName val="DONGIA"/>
      <sheetName val="mto rev.2(armor)"/>
      <sheetName val="ThongSo"/>
      <sheetName val="he so"/>
      <sheetName val="149-2"/>
      <sheetName val="mtp1"/>
      <sheetName val="sheet3"/>
      <sheetName val="#ref"/>
      <sheetName val="DLDT"/>
      <sheetName val="Don gia Soc Trang"/>
      <sheetName val="MTO REV.0"/>
      <sheetName val="LKVL-CK-HT-GD1"/>
      <sheetName val="BETON"/>
      <sheetName val="ChiTietDZ"/>
      <sheetName val="VuaBT"/>
      <sheetName val="TTDZ22"/>
      <sheetName val="TT DZ35"/>
      <sheetName val="ESTI."/>
      <sheetName val="DI-ESTI"/>
      <sheetName val="Gia"/>
    </sheetNames>
    <sheetDataSet>
      <sheetData sheetId="0" refreshError="1">
        <row r="45">
          <cell r="E45">
            <v>450000</v>
          </cell>
        </row>
        <row r="47">
          <cell r="E47">
            <v>575000</v>
          </cell>
        </row>
        <row r="52">
          <cell r="E52">
            <v>60000</v>
          </cell>
        </row>
        <row r="53">
          <cell r="E53">
            <v>135000</v>
          </cell>
        </row>
        <row r="55">
          <cell r="E55">
            <v>3500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ia vat tu"/>
      <sheetName val="dongia"/>
      <sheetName val="KPVC-BD "/>
      <sheetName val="MTO REV.2(ARMOR)"/>
      <sheetName val="??-BLDG"/>
      <sheetName val="__-BLDG"/>
      <sheetName val="Sum"/>
      <sheetName val="???????-BLDG"/>
      <sheetName val="tuong"/>
      <sheetName val="_______-BLDG"/>
      <sheetName val="VL,NC,MTC"/>
      <sheetName val="THKP"/>
      <sheetName val="T-goc"/>
      <sheetName val="Dinh nghia"/>
      <sheetName val="Temp"/>
      <sheetName val="CHITIET VL-NC-TT -1p"/>
      <sheetName val="CHITIET VL-NC-TT-3p"/>
      <sheetName val="THCT"/>
      <sheetName val="THDZ0,4"/>
      <sheetName val="TH DZ35"/>
      <sheetName val="THTram"/>
      <sheetName val="dongia (2)"/>
      <sheetName val="TDTKP1"/>
      <sheetName val="Van chuyen"/>
      <sheetName val="Gia VL den HT"/>
      <sheetName val="PhaDoMong"/>
      <sheetName val="QMCT"/>
      <sheetName val="BK04"/>
      <sheetName val="dtxl"/>
      <sheetName val="KB"/>
      <sheetName val="Sheet2"/>
      <sheetName val="DZ 0.4"/>
      <sheetName val="Banbuc"/>
      <sheetName val="CaMay"/>
      <sheetName val="DGiaT"/>
      <sheetName val="DGiaTN"/>
      <sheetName val="Don gia Soc Trang"/>
      <sheetName val="TT"/>
      <sheetName val="legend"/>
      <sheetName val="MTO REV.0"/>
      <sheetName val="giathanh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
      <sheetName val="M-Build"/>
      <sheetName val="auxiliary"/>
      <sheetName val="Outside"/>
      <sheetName val="000"/>
    </sheetNames>
    <sheetDataSet>
      <sheetData sheetId="0"/>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aok"/>
      <sheetName val="Muc luc KH"/>
      <sheetName val="Uoc TH SL 2006 "/>
      <sheetName val="Uoc TH 2006"/>
      <sheetName val="TONG HOP"/>
      <sheetName val="KHSL-1"/>
      <sheetName val="SCTX-21"/>
      <sheetName val="SCTX-2"/>
      <sheetName val="SCL-3"/>
      <sheetName val="Nhienlieu-4 (2)"/>
      <sheetName val="Nhienlieu-4"/>
      <sheetName val="DbaoHdong5"/>
      <sheetName val="Doanh cu Dung cu 5.1"/>
      <sheetName val="Nghiep vu nganh 5.2"/>
      <sheetName val="BHLD-5.3"/>
      <sheetName val="Khauhao6 "/>
      <sheetName val="c_cu-7"/>
      <sheetName val="KH HL-DT-8"/>
      <sheetName val="Tel-Fax-10 0k"/>
      <sheetName val="DT-XDCB-11"/>
      <sheetName val="Nho le 12ok"/>
      <sheetName val="CbiDT-13"/>
      <sheetName val="Luong-14"/>
      <sheetName val="KHLD-15"/>
      <sheetName val="KhenT-16"/>
      <sheetName val="VTDP-17 (2)ok"/>
      <sheetName val="VTDP-17"/>
      <sheetName val="00000000"/>
      <sheetName val="100000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uc luc KH "/>
      <sheetName val="Biaok"/>
      <sheetName val="Uoc TH SL 2008  "/>
      <sheetName val="Uoc TH 2007"/>
      <sheetName val="TONG HOP"/>
      <sheetName val="KHSL-1"/>
      <sheetName val="SCTX-21"/>
      <sheetName val="SCTX-2"/>
      <sheetName val="SCL-3"/>
      <sheetName val="Nhienlieu-4 "/>
      <sheetName val="DbaoHdong5"/>
      <sheetName val="Doanh cu Dung cu 5.1 (trinh)"/>
      <sheetName val="Doanh cu Dung cu 5.1"/>
      <sheetName val="Nghiep vu nganh 5.2"/>
      <sheetName val="BHLD-5.3"/>
      <sheetName val="Khauhao6 "/>
      <sheetName val="c_cu-7"/>
      <sheetName val="KH HL-DT-8"/>
      <sheetName val="Tel-Fax-10 0k"/>
      <sheetName val="DT-XDCB-11"/>
      <sheetName val="Nho le 12ok"/>
      <sheetName val="CbiDT-13"/>
      <sheetName val="Luong-14"/>
      <sheetName val="KHLD-15"/>
      <sheetName val="Sheet1"/>
      <sheetName val="KhenT-16"/>
      <sheetName val="00000000"/>
      <sheetName val="100000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a"/>
      <sheetName val="To trinh"/>
      <sheetName val="Muc luc KH"/>
      <sheetName val="Uoc TH 2002"/>
      <sheetName val="Uoc TH SL 2002"/>
      <sheetName val="TONG HOP"/>
      <sheetName val="KHSL-1"/>
      <sheetName val="SCTX-21"/>
      <sheetName val="SCTX-2"/>
      <sheetName val="SCL-3"/>
      <sheetName val="Nhienlieu-4"/>
      <sheetName val="DbaoHdong5"/>
      <sheetName val="Doanh cu Dung cu 5.1"/>
      <sheetName val="Nghiep vu nganh 5.2"/>
      <sheetName val="BHLD-5.3"/>
      <sheetName val="Khauhao-6"/>
      <sheetName val="c_cu-7"/>
      <sheetName val="KH HL-DT-8"/>
      <sheetName val="Tel-Fax-10"/>
      <sheetName val="DT-XDCB-11"/>
      <sheetName val="Nho le 12"/>
      <sheetName val="CbiDT-13"/>
      <sheetName val="Luong-14"/>
      <sheetName val="KHLD-15"/>
      <sheetName val="KhenT-16"/>
      <sheetName val="VTDP-17"/>
      <sheetName val="00000000"/>
      <sheetName val="100000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ngia"/>
    </sheetNames>
    <sheetDataSet>
      <sheetData sheetId="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hyperlink" Target="https://igat.icao.int/ated/TrainingCatalogue/Course/6305" TargetMode="External"/><Relationship Id="rId2" Type="http://schemas.openxmlformats.org/officeDocument/2006/relationships/hyperlink" Target="https://www.catc.or.th/en/curriculum/sar-mission-coordinator-training-course/" TargetMode="External"/><Relationship Id="rId1" Type="http://schemas.openxmlformats.org/officeDocument/2006/relationships/hyperlink" Target="https://vanphongdientu.vatm.vn/modules/workflow/incctl.aspx?doc_action=8&amp;DocumentID=450775" TargetMode="External"/><Relationship Id="rId5" Type="http://schemas.openxmlformats.org/officeDocument/2006/relationships/drawing" Target="../drawings/drawing1.xml"/><Relationship Id="rId4"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8" Type="http://schemas.openxmlformats.org/officeDocument/2006/relationships/hyperlink" Target="https://igat.icao.int/ated/TrainingCatalogue/Course/3" TargetMode="External"/><Relationship Id="rId3" Type="http://schemas.openxmlformats.org/officeDocument/2006/relationships/hyperlink" Target="https://training.enac.fr/catalog/detail/190" TargetMode="External"/><Relationship Id="rId7" Type="http://schemas.openxmlformats.org/officeDocument/2006/relationships/hyperlink" Target="https://www.caas.gov.sg/saa/saa-programmes/programme-details/Search-and-Rescue-Administrators" TargetMode="External"/><Relationship Id="rId2" Type="http://schemas.openxmlformats.org/officeDocument/2006/relationships/hyperlink" Target="https://www.catc.or.th/en/curriculum/sar-mission-coordinator-training-course/" TargetMode="External"/><Relationship Id="rId1" Type="http://schemas.openxmlformats.org/officeDocument/2006/relationships/hyperlink" Target="https://igat.icao.int/ated/TrainingCatalogue/Course/887" TargetMode="External"/><Relationship Id="rId6" Type="http://schemas.openxmlformats.org/officeDocument/2006/relationships/hyperlink" Target="https://igat.icao.int/ated/TrainingCatalogue/Course/5613" TargetMode="External"/><Relationship Id="rId5" Type="http://schemas.openxmlformats.org/officeDocument/2006/relationships/hyperlink" Target="https://vanphongdientu.vatm.vn/modules/workflow/incctl.aspx?doc_action=8&amp;DocumentID=450775" TargetMode="External"/><Relationship Id="rId4" Type="http://schemas.openxmlformats.org/officeDocument/2006/relationships/hyperlink" Target="https://www.iata.org/en/training/courses/aviation-human-factors/tcvt05/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view="pageBreakPreview" workbookViewId="0"/>
  </sheetViews>
  <sheetFormatPr defaultRowHeight="15"/>
  <sheetData/>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G4:H8"/>
  <sheetViews>
    <sheetView workbookViewId="0">
      <selection activeCell="H4" sqref="H4:H8"/>
    </sheetView>
  </sheetViews>
  <sheetFormatPr defaultRowHeight="15"/>
  <sheetData>
    <row r="4" spans="7:8">
      <c r="H4">
        <v>19</v>
      </c>
    </row>
    <row r="5" spans="7:8">
      <c r="G5">
        <v>34</v>
      </c>
      <c r="H5">
        <v>12</v>
      </c>
    </row>
    <row r="6" spans="7:8">
      <c r="H6">
        <v>34</v>
      </c>
    </row>
    <row r="7" spans="7:8">
      <c r="H7">
        <v>45</v>
      </c>
    </row>
    <row r="8" spans="7:8">
      <c r="H8">
        <f>SUM(H4:H7)</f>
        <v>110</v>
      </c>
    </row>
  </sheetData>
  <pageMargins left="0.7" right="0.7" top="0.75" bottom="0.75" header="0.3" footer="0.3"/>
  <pageSetup paperSize="9" orientation="portrait"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election activeCell="E19" sqref="E19"/>
    </sheetView>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22"/>
  <sheetViews>
    <sheetView zoomScale="115" zoomScaleNormal="115" workbookViewId="0">
      <selection activeCell="A2" sqref="A2:G2"/>
    </sheetView>
  </sheetViews>
  <sheetFormatPr defaultRowHeight="15"/>
  <cols>
    <col min="1" max="1" width="4.44140625" customWidth="1"/>
    <col min="2" max="2" width="28.44140625" customWidth="1"/>
    <col min="3" max="3" width="6.5546875" customWidth="1"/>
    <col min="4" max="4" width="5.5546875" customWidth="1"/>
    <col min="5" max="5" width="7.21875" customWidth="1"/>
    <col min="6" max="6" width="7.44140625" customWidth="1"/>
    <col min="7" max="7" width="9.77734375" customWidth="1"/>
    <col min="8" max="14" width="0" hidden="1" customWidth="1"/>
  </cols>
  <sheetData>
    <row r="1" spans="1:13" ht="45" customHeight="1">
      <c r="A1" s="195" t="s">
        <v>68</v>
      </c>
      <c r="B1" s="195"/>
      <c r="C1" s="195"/>
      <c r="D1" s="195"/>
      <c r="E1" s="195"/>
      <c r="F1" s="195"/>
      <c r="G1" s="195"/>
      <c r="H1" s="12"/>
      <c r="I1" s="12"/>
      <c r="J1" s="12"/>
      <c r="K1" s="12"/>
      <c r="L1" s="12"/>
      <c r="M1" s="12"/>
    </row>
    <row r="2" spans="1:13" ht="15.6" customHeight="1">
      <c r="A2" s="194" t="s">
        <v>163</v>
      </c>
      <c r="B2" s="194"/>
      <c r="C2" s="194"/>
      <c r="D2" s="194"/>
      <c r="E2" s="194"/>
      <c r="F2" s="194"/>
      <c r="G2" s="194"/>
      <c r="H2" s="12"/>
      <c r="I2" s="12"/>
      <c r="J2" s="12"/>
      <c r="K2" s="12"/>
      <c r="L2" s="12"/>
      <c r="M2" s="12"/>
    </row>
    <row r="3" spans="1:13" ht="66">
      <c r="A3" s="5" t="s">
        <v>2</v>
      </c>
      <c r="B3" s="5" t="s">
        <v>6</v>
      </c>
      <c r="C3" s="5" t="s">
        <v>9</v>
      </c>
      <c r="D3" s="5" t="s">
        <v>10</v>
      </c>
      <c r="E3" s="5" t="s">
        <v>11</v>
      </c>
      <c r="F3" s="5" t="s">
        <v>12</v>
      </c>
      <c r="G3" s="5" t="s">
        <v>13</v>
      </c>
      <c r="H3" s="12"/>
      <c r="I3" s="12"/>
      <c r="J3" s="12"/>
      <c r="K3" s="12"/>
      <c r="L3" s="12"/>
      <c r="M3" s="12"/>
    </row>
    <row r="4" spans="1:13" ht="16.5">
      <c r="A4" s="5">
        <v>1</v>
      </c>
      <c r="B4" s="5">
        <v>2</v>
      </c>
      <c r="C4" s="5">
        <v>3</v>
      </c>
      <c r="D4" s="5">
        <v>4</v>
      </c>
      <c r="E4" s="5">
        <v>5</v>
      </c>
      <c r="F4" s="5">
        <v>6</v>
      </c>
      <c r="G4" s="5" t="s">
        <v>32</v>
      </c>
      <c r="H4" s="12"/>
      <c r="I4" s="12"/>
      <c r="J4" s="12"/>
      <c r="K4" s="12"/>
      <c r="L4" s="12"/>
      <c r="M4" s="12"/>
    </row>
    <row r="5" spans="1:13" ht="16.5">
      <c r="A5" s="6" t="s">
        <v>1</v>
      </c>
      <c r="B5" s="7" t="s">
        <v>58</v>
      </c>
      <c r="C5" s="7"/>
      <c r="D5" s="7"/>
      <c r="E5" s="5"/>
      <c r="F5" s="8"/>
      <c r="G5" s="9">
        <f>G6+G12+G19</f>
        <v>16400</v>
      </c>
      <c r="H5" s="12"/>
      <c r="I5" s="12"/>
      <c r="J5" s="12"/>
      <c r="K5" s="12"/>
      <c r="L5" s="12"/>
      <c r="M5" s="12"/>
    </row>
    <row r="6" spans="1:13" ht="16.5">
      <c r="A6" s="5" t="s">
        <v>33</v>
      </c>
      <c r="B6" s="7" t="s">
        <v>34</v>
      </c>
      <c r="C6" s="7"/>
      <c r="D6" s="7"/>
      <c r="E6" s="5"/>
      <c r="F6" s="8"/>
      <c r="G6" s="9">
        <f>G7+G9</f>
        <v>4500</v>
      </c>
      <c r="H6" s="12"/>
      <c r="I6" s="12"/>
      <c r="J6" s="12"/>
      <c r="K6" s="12"/>
      <c r="L6" s="12"/>
      <c r="M6" s="12"/>
    </row>
    <row r="7" spans="1:13" ht="16.5">
      <c r="A7" s="13">
        <v>1.1000000000000001</v>
      </c>
      <c r="B7" s="14" t="s">
        <v>35</v>
      </c>
      <c r="C7" s="13" t="s">
        <v>14</v>
      </c>
      <c r="D7" s="13">
        <v>3</v>
      </c>
      <c r="E7" s="10"/>
      <c r="F7" s="10"/>
      <c r="G7" s="15">
        <f>G8</f>
        <v>3000</v>
      </c>
      <c r="H7" s="12"/>
      <c r="I7" s="12"/>
      <c r="J7" s="12"/>
      <c r="K7" s="12"/>
      <c r="L7" s="12"/>
      <c r="M7" s="12"/>
    </row>
    <row r="8" spans="1:13" ht="16.5">
      <c r="A8" s="13" t="s">
        <v>31</v>
      </c>
      <c r="B8" s="14" t="s">
        <v>36</v>
      </c>
      <c r="C8" s="13" t="s">
        <v>14</v>
      </c>
      <c r="D8" s="13">
        <v>3</v>
      </c>
      <c r="E8" s="13">
        <v>1</v>
      </c>
      <c r="F8" s="15">
        <v>1000</v>
      </c>
      <c r="G8" s="15">
        <f>D8*E8*F8</f>
        <v>3000</v>
      </c>
      <c r="H8" s="12"/>
      <c r="I8" s="12"/>
      <c r="J8" s="12"/>
      <c r="K8" s="12"/>
      <c r="L8" s="12"/>
      <c r="M8" s="12"/>
    </row>
    <row r="9" spans="1:13" ht="16.5">
      <c r="A9" s="13">
        <v>1.2</v>
      </c>
      <c r="B9" s="14" t="s">
        <v>15</v>
      </c>
      <c r="C9" s="13" t="s">
        <v>14</v>
      </c>
      <c r="D9" s="13">
        <v>1</v>
      </c>
      <c r="E9" s="10"/>
      <c r="F9" s="16"/>
      <c r="G9" s="15">
        <v>1500</v>
      </c>
      <c r="H9" s="12"/>
      <c r="I9" s="12"/>
      <c r="J9" s="12"/>
      <c r="K9" s="12"/>
      <c r="L9" s="12"/>
      <c r="M9" s="12"/>
    </row>
    <row r="10" spans="1:13" ht="16.5">
      <c r="A10" s="13" t="s">
        <v>31</v>
      </c>
      <c r="B10" s="14" t="s">
        <v>36</v>
      </c>
      <c r="C10" s="13" t="s">
        <v>14</v>
      </c>
      <c r="D10" s="13">
        <v>1</v>
      </c>
      <c r="E10" s="13">
        <v>1</v>
      </c>
      <c r="F10" s="15">
        <v>1500</v>
      </c>
      <c r="G10" s="15">
        <v>1500</v>
      </c>
      <c r="H10" s="12"/>
      <c r="I10" s="12"/>
      <c r="J10" s="12"/>
      <c r="K10" s="12"/>
      <c r="L10" s="12"/>
      <c r="M10" s="12"/>
    </row>
    <row r="11" spans="1:13" ht="16.5">
      <c r="A11" s="13" t="s">
        <v>31</v>
      </c>
      <c r="B11" s="14" t="s">
        <v>37</v>
      </c>
      <c r="C11" s="13" t="s">
        <v>14</v>
      </c>
      <c r="D11" s="13">
        <v>1</v>
      </c>
      <c r="E11" s="13">
        <v>1</v>
      </c>
      <c r="F11" s="15">
        <v>6500</v>
      </c>
      <c r="G11" s="15">
        <v>6500</v>
      </c>
      <c r="H11" s="12"/>
      <c r="I11" s="12"/>
      <c r="J11" s="12"/>
      <c r="K11" s="12"/>
      <c r="L11" s="12"/>
      <c r="M11" s="12"/>
    </row>
    <row r="12" spans="1:13" ht="16.5">
      <c r="A12" s="17" t="s">
        <v>38</v>
      </c>
      <c r="B12" s="18" t="s">
        <v>39</v>
      </c>
      <c r="C12" s="19"/>
      <c r="D12" s="19"/>
      <c r="E12" s="19"/>
      <c r="F12" s="11"/>
      <c r="G12" s="20">
        <f>G13+G15+G17</f>
        <v>7700</v>
      </c>
      <c r="H12" s="12"/>
      <c r="I12" s="12"/>
      <c r="J12" s="12"/>
      <c r="K12" s="12"/>
      <c r="L12" s="12"/>
      <c r="M12" s="12"/>
    </row>
    <row r="13" spans="1:13" ht="16.5">
      <c r="A13" s="13">
        <v>1</v>
      </c>
      <c r="B13" s="14" t="s">
        <v>40</v>
      </c>
      <c r="C13" s="13" t="s">
        <v>14</v>
      </c>
      <c r="D13" s="13">
        <v>5</v>
      </c>
      <c r="E13" s="10"/>
      <c r="F13" s="21"/>
      <c r="G13" s="15">
        <f>G14</f>
        <v>5000</v>
      </c>
      <c r="H13" s="12"/>
      <c r="I13" s="12"/>
      <c r="J13" s="12"/>
      <c r="K13" s="12"/>
      <c r="L13" s="12"/>
      <c r="M13" s="12"/>
    </row>
    <row r="14" spans="1:13" ht="16.5">
      <c r="A14" s="13" t="s">
        <v>31</v>
      </c>
      <c r="B14" s="14" t="s">
        <v>36</v>
      </c>
      <c r="C14" s="13" t="s">
        <v>14</v>
      </c>
      <c r="D14" s="13">
        <v>5</v>
      </c>
      <c r="E14" s="13">
        <v>1</v>
      </c>
      <c r="F14" s="15">
        <v>1000</v>
      </c>
      <c r="G14" s="15">
        <f>D14*E14*F14</f>
        <v>5000</v>
      </c>
      <c r="H14" s="12"/>
      <c r="I14" s="12"/>
      <c r="J14" s="12"/>
      <c r="K14" s="12"/>
      <c r="L14" s="12"/>
      <c r="M14" s="12"/>
    </row>
    <row r="15" spans="1:13" ht="16.5">
      <c r="A15" s="13">
        <v>2</v>
      </c>
      <c r="B15" s="14" t="s">
        <v>15</v>
      </c>
      <c r="C15" s="13" t="s">
        <v>14</v>
      </c>
      <c r="D15" s="13">
        <v>1</v>
      </c>
      <c r="E15" s="10"/>
      <c r="F15" s="16"/>
      <c r="G15" s="15">
        <v>1500</v>
      </c>
      <c r="H15" s="12"/>
      <c r="I15" s="12"/>
      <c r="J15" s="12"/>
      <c r="K15" s="12"/>
      <c r="L15" s="12"/>
      <c r="M15" s="12"/>
    </row>
    <row r="16" spans="1:13" ht="16.5">
      <c r="A16" s="13" t="s">
        <v>31</v>
      </c>
      <c r="B16" s="14" t="s">
        <v>36</v>
      </c>
      <c r="C16" s="13" t="s">
        <v>14</v>
      </c>
      <c r="D16" s="13">
        <v>1</v>
      </c>
      <c r="E16" s="13">
        <v>1</v>
      </c>
      <c r="F16" s="15">
        <v>1500</v>
      </c>
      <c r="G16" s="15">
        <v>1500</v>
      </c>
      <c r="H16" s="12"/>
      <c r="I16" s="12"/>
      <c r="J16" s="12"/>
      <c r="K16" s="12"/>
      <c r="L16" s="12"/>
      <c r="M16" s="12"/>
    </row>
    <row r="17" spans="1:13" ht="16.5">
      <c r="A17" s="13">
        <v>3</v>
      </c>
      <c r="B17" s="14" t="s">
        <v>49</v>
      </c>
      <c r="C17" s="13" t="s">
        <v>14</v>
      </c>
      <c r="D17" s="13">
        <v>1</v>
      </c>
      <c r="E17" s="13" t="s">
        <v>41</v>
      </c>
      <c r="F17" s="22">
        <v>100</v>
      </c>
      <c r="G17" s="22" t="s">
        <v>42</v>
      </c>
      <c r="H17" s="12"/>
      <c r="I17" s="12"/>
      <c r="J17" s="12"/>
      <c r="K17" s="12"/>
      <c r="L17" s="12"/>
      <c r="M17" s="12"/>
    </row>
    <row r="18" spans="1:13" ht="16.5">
      <c r="A18" s="13" t="s">
        <v>31</v>
      </c>
      <c r="B18" s="14" t="s">
        <v>37</v>
      </c>
      <c r="C18" s="13" t="s">
        <v>14</v>
      </c>
      <c r="D18" s="13">
        <v>1</v>
      </c>
      <c r="E18" s="13">
        <v>1</v>
      </c>
      <c r="F18" s="15">
        <v>6500</v>
      </c>
      <c r="G18" s="15">
        <v>6500</v>
      </c>
      <c r="H18" s="12"/>
      <c r="I18" s="12"/>
      <c r="J18" s="12"/>
      <c r="K18" s="12"/>
      <c r="L18" s="12"/>
      <c r="M18" s="12"/>
    </row>
    <row r="19" spans="1:13" ht="16.5">
      <c r="A19" s="17" t="s">
        <v>43</v>
      </c>
      <c r="B19" s="18" t="s">
        <v>44</v>
      </c>
      <c r="C19" s="19"/>
      <c r="D19" s="19"/>
      <c r="E19" s="19"/>
      <c r="F19" s="11"/>
      <c r="G19" s="20">
        <v>4200</v>
      </c>
      <c r="H19" s="12"/>
      <c r="I19" s="12"/>
      <c r="J19" s="12"/>
      <c r="K19" s="12"/>
      <c r="L19" s="12"/>
      <c r="M19" s="12"/>
    </row>
    <row r="20" spans="1:13" ht="16.5">
      <c r="A20" s="10"/>
      <c r="B20" s="14" t="s">
        <v>45</v>
      </c>
      <c r="C20" s="13" t="s">
        <v>14</v>
      </c>
      <c r="D20" s="13">
        <v>1</v>
      </c>
      <c r="E20" s="13">
        <v>4</v>
      </c>
      <c r="F20" s="22">
        <v>400</v>
      </c>
      <c r="G20" s="22" t="s">
        <v>46</v>
      </c>
      <c r="H20" s="12"/>
      <c r="I20" s="12"/>
      <c r="J20" s="12"/>
      <c r="K20" s="12"/>
      <c r="L20" s="12"/>
      <c r="M20" s="12"/>
    </row>
    <row r="21" spans="1:13" ht="16.5">
      <c r="A21" s="10"/>
      <c r="B21" s="14" t="s">
        <v>47</v>
      </c>
      <c r="C21" s="13" t="s">
        <v>14</v>
      </c>
      <c r="D21" s="13">
        <v>1</v>
      </c>
      <c r="E21" s="13">
        <v>4</v>
      </c>
      <c r="F21" s="22">
        <v>150</v>
      </c>
      <c r="G21" s="22">
        <v>600</v>
      </c>
      <c r="H21" s="12"/>
      <c r="I21" s="12"/>
      <c r="J21" s="12"/>
      <c r="K21" s="12"/>
      <c r="L21" s="12"/>
      <c r="M21" s="12"/>
    </row>
    <row r="22" spans="1:13" ht="16.5">
      <c r="A22" s="10"/>
      <c r="B22" s="14" t="s">
        <v>48</v>
      </c>
      <c r="C22" s="13" t="s">
        <v>14</v>
      </c>
      <c r="D22" s="13">
        <v>1</v>
      </c>
      <c r="E22" s="13">
        <v>2</v>
      </c>
      <c r="F22" s="15">
        <v>1000</v>
      </c>
      <c r="G22" s="15">
        <v>2000</v>
      </c>
      <c r="H22" s="12"/>
      <c r="I22" s="12"/>
      <c r="J22" s="12"/>
      <c r="K22" s="12"/>
      <c r="L22" s="12"/>
      <c r="M22" s="12"/>
    </row>
  </sheetData>
  <mergeCells count="2">
    <mergeCell ref="A2:G2"/>
    <mergeCell ref="A1:G1"/>
  </mergeCells>
  <pageMargins left="1.155511811" right="0.59055118110236204" top="0.55118110236220497" bottom="0.55118110236220497" header="0.31496062992126" footer="0.31496062992126"/>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
  <sheetViews>
    <sheetView workbookViewId="0"/>
  </sheetViews>
  <sheetFormatPr defaultRowHeig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E90"/>
  <sheetViews>
    <sheetView tabSelected="1" zoomScale="96" zoomScaleNormal="96" workbookViewId="0">
      <pane xSplit="2" ySplit="15" topLeftCell="C16" activePane="bottomRight" state="frozen"/>
      <selection pane="topRight" activeCell="C1" sqref="C1"/>
      <selection pane="bottomLeft" activeCell="A16" sqref="A16"/>
      <selection pane="bottomRight" activeCell="B61" sqref="B61"/>
    </sheetView>
  </sheetViews>
  <sheetFormatPr defaultColWidth="8.88671875" defaultRowHeight="15.75"/>
  <cols>
    <col min="1" max="1" width="3.88671875" style="107" customWidth="1"/>
    <col min="2" max="2" width="31.77734375" style="107" customWidth="1"/>
    <col min="3" max="3" width="17" style="107" customWidth="1"/>
    <col min="4" max="4" width="10.44140625" style="107" customWidth="1"/>
    <col min="5" max="5" width="10.33203125" style="107" customWidth="1"/>
    <col min="6" max="6" width="9.44140625" style="107" customWidth="1"/>
    <col min="7" max="7" width="7.44140625" style="107" customWidth="1"/>
    <col min="8" max="8" width="7.21875" style="107" customWidth="1"/>
    <col min="9" max="9" width="8" style="107" customWidth="1"/>
    <col min="10" max="26" width="8.77734375" style="107" hidden="1" customWidth="1"/>
    <col min="27" max="27" width="15" style="107" customWidth="1"/>
    <col min="28" max="28" width="9.88671875" style="107" customWidth="1"/>
    <col min="29" max="29" width="12.5546875" style="107" customWidth="1"/>
    <col min="30" max="30" width="50.77734375" style="107" customWidth="1"/>
    <col min="31" max="31" width="8.88671875" style="107"/>
    <col min="32" max="32" width="10.6640625" style="107" customWidth="1"/>
    <col min="33" max="16384" width="8.88671875" style="107"/>
  </cols>
  <sheetData>
    <row r="1" spans="1:30">
      <c r="A1" s="196" t="s">
        <v>412</v>
      </c>
      <c r="B1" s="196"/>
      <c r="C1" s="196"/>
      <c r="D1" s="196"/>
      <c r="E1" s="196"/>
      <c r="F1" s="196"/>
      <c r="G1" s="196"/>
      <c r="H1" s="196"/>
      <c r="I1" s="196"/>
      <c r="J1" s="196"/>
      <c r="K1" s="196"/>
      <c r="L1" s="196"/>
      <c r="M1" s="196"/>
      <c r="N1" s="196"/>
      <c r="O1" s="196"/>
      <c r="P1" s="196"/>
      <c r="Q1" s="196"/>
      <c r="R1" s="196"/>
      <c r="S1" s="196"/>
      <c r="T1" s="196"/>
      <c r="U1" s="196"/>
      <c r="V1" s="196"/>
      <c r="W1" s="196"/>
      <c r="X1" s="196"/>
      <c r="Y1" s="196"/>
      <c r="Z1" s="196"/>
      <c r="AA1" s="196"/>
      <c r="AB1" s="196"/>
      <c r="AC1" s="196"/>
    </row>
    <row r="2" spans="1:30">
      <c r="A2" s="202" t="s">
        <v>273</v>
      </c>
      <c r="B2" s="202"/>
      <c r="C2" s="202"/>
      <c r="D2" s="202"/>
      <c r="E2" s="202"/>
      <c r="F2" s="202"/>
      <c r="G2" s="202"/>
      <c r="H2" s="202"/>
      <c r="I2" s="202"/>
      <c r="J2" s="202"/>
      <c r="K2" s="202"/>
      <c r="L2" s="202"/>
      <c r="M2" s="202"/>
      <c r="N2" s="202"/>
      <c r="O2" s="202"/>
      <c r="P2" s="202"/>
      <c r="Q2" s="202"/>
      <c r="R2" s="202"/>
      <c r="S2" s="202"/>
      <c r="T2" s="202"/>
      <c r="U2" s="202"/>
      <c r="V2" s="202"/>
      <c r="W2" s="202"/>
      <c r="X2" s="202"/>
      <c r="Y2" s="202"/>
      <c r="Z2" s="202"/>
      <c r="AA2" s="202"/>
      <c r="AB2" s="202"/>
      <c r="AC2" s="202"/>
    </row>
    <row r="3" spans="1:30" ht="8.25" customHeight="1">
      <c r="A3" s="202"/>
      <c r="B3" s="202"/>
      <c r="C3" s="202"/>
      <c r="D3" s="202"/>
      <c r="E3" s="202"/>
      <c r="F3" s="202"/>
      <c r="G3" s="202"/>
      <c r="H3" s="202"/>
      <c r="I3" s="202"/>
      <c r="J3" s="202"/>
      <c r="K3" s="202"/>
      <c r="L3" s="202"/>
      <c r="M3" s="202"/>
      <c r="N3" s="202"/>
      <c r="O3" s="202"/>
      <c r="P3" s="202"/>
      <c r="Q3" s="202"/>
      <c r="R3" s="202"/>
      <c r="S3" s="202"/>
      <c r="T3" s="202"/>
      <c r="U3" s="202"/>
      <c r="V3" s="202"/>
      <c r="W3" s="202"/>
      <c r="X3" s="202"/>
      <c r="Y3" s="202"/>
      <c r="Z3" s="202"/>
      <c r="AA3" s="202"/>
      <c r="AB3" s="202"/>
      <c r="AC3" s="202"/>
    </row>
    <row r="4" spans="1:30" s="105" customFormat="1" ht="18.75" customHeight="1">
      <c r="A4" s="193" t="s">
        <v>404</v>
      </c>
      <c r="B4" s="193"/>
      <c r="C4" s="193"/>
      <c r="D4" s="193"/>
      <c r="E4" s="193"/>
      <c r="F4" s="193"/>
      <c r="G4" s="193"/>
      <c r="H4" s="193"/>
      <c r="I4" s="193"/>
      <c r="J4" s="193"/>
      <c r="K4" s="193"/>
      <c r="L4" s="193"/>
      <c r="M4" s="193"/>
      <c r="N4" s="193"/>
      <c r="O4" s="193"/>
      <c r="P4" s="193"/>
      <c r="Q4" s="193"/>
      <c r="R4" s="193"/>
      <c r="S4" s="193"/>
      <c r="T4" s="193"/>
      <c r="U4" s="193"/>
      <c r="V4" s="193"/>
      <c r="W4" s="193"/>
      <c r="X4" s="193"/>
      <c r="Y4" s="193"/>
      <c r="Z4" s="193"/>
      <c r="AA4" s="193"/>
      <c r="AB4" s="193"/>
      <c r="AC4" s="193"/>
    </row>
    <row r="5" spans="1:30" hidden="1">
      <c r="A5" s="203" t="s">
        <v>164</v>
      </c>
      <c r="B5" s="203"/>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row>
    <row r="6" spans="1:30" hidden="1">
      <c r="A6" s="198" t="s">
        <v>165</v>
      </c>
      <c r="B6" s="198"/>
      <c r="C6" s="198"/>
      <c r="D6" s="198"/>
      <c r="E6" s="198"/>
      <c r="F6" s="198"/>
      <c r="G6" s="198"/>
      <c r="H6" s="198"/>
      <c r="I6" s="198"/>
      <c r="J6" s="198"/>
      <c r="K6" s="198"/>
      <c r="L6" s="198"/>
      <c r="M6" s="198"/>
      <c r="N6" s="198"/>
      <c r="O6" s="198"/>
      <c r="P6" s="198"/>
      <c r="Q6" s="198"/>
      <c r="R6" s="198"/>
      <c r="S6" s="198"/>
      <c r="T6" s="198"/>
      <c r="U6" s="198"/>
      <c r="V6" s="198"/>
      <c r="W6" s="198"/>
      <c r="X6" s="198"/>
      <c r="Y6" s="198"/>
      <c r="Z6" s="198"/>
      <c r="AA6" s="198"/>
      <c r="AB6" s="198"/>
      <c r="AC6" s="198"/>
    </row>
    <row r="7" spans="1:30" hidden="1">
      <c r="A7" s="198" t="s">
        <v>166</v>
      </c>
      <c r="B7" s="198"/>
      <c r="C7" s="198"/>
      <c r="D7" s="198"/>
      <c r="E7" s="198"/>
      <c r="F7" s="198"/>
      <c r="G7" s="198"/>
      <c r="H7" s="198"/>
      <c r="I7" s="198"/>
      <c r="J7" s="198"/>
      <c r="K7" s="198"/>
      <c r="L7" s="198"/>
      <c r="M7" s="198"/>
      <c r="N7" s="198"/>
      <c r="O7" s="198"/>
      <c r="P7" s="198"/>
      <c r="Q7" s="198"/>
      <c r="R7" s="198"/>
      <c r="S7" s="198"/>
      <c r="T7" s="198"/>
      <c r="U7" s="198"/>
      <c r="V7" s="198"/>
      <c r="W7" s="198"/>
      <c r="X7" s="198"/>
      <c r="Y7" s="198"/>
      <c r="Z7" s="198"/>
      <c r="AA7" s="198"/>
      <c r="AB7" s="198"/>
      <c r="AC7" s="198"/>
    </row>
    <row r="8" spans="1:30" hidden="1">
      <c r="A8" s="198" t="s">
        <v>167</v>
      </c>
      <c r="B8" s="198"/>
      <c r="C8" s="198"/>
      <c r="D8" s="198"/>
      <c r="E8" s="198"/>
      <c r="F8" s="198"/>
      <c r="G8" s="198"/>
      <c r="H8" s="198"/>
      <c r="I8" s="198"/>
      <c r="J8" s="198"/>
      <c r="K8" s="198"/>
      <c r="L8" s="198"/>
      <c r="M8" s="198"/>
      <c r="N8" s="198"/>
      <c r="O8" s="198"/>
      <c r="P8" s="198"/>
      <c r="Q8" s="198"/>
      <c r="R8" s="198"/>
      <c r="S8" s="198"/>
      <c r="T8" s="198"/>
      <c r="U8" s="198"/>
      <c r="V8" s="198"/>
      <c r="W8" s="198"/>
      <c r="X8" s="198"/>
      <c r="Y8" s="198"/>
      <c r="Z8" s="198"/>
      <c r="AA8" s="198"/>
      <c r="AB8" s="198"/>
      <c r="AC8" s="198"/>
    </row>
    <row r="9" spans="1:30" hidden="1">
      <c r="A9" s="199" t="s">
        <v>168</v>
      </c>
      <c r="B9" s="199"/>
      <c r="C9" s="199"/>
      <c r="D9" s="199"/>
      <c r="E9" s="199"/>
      <c r="F9" s="199"/>
      <c r="G9" s="199"/>
      <c r="H9" s="199"/>
      <c r="I9" s="199"/>
      <c r="J9" s="199"/>
      <c r="K9" s="199"/>
      <c r="L9" s="199"/>
      <c r="M9" s="199"/>
      <c r="N9" s="199"/>
      <c r="O9" s="199"/>
      <c r="P9" s="199"/>
      <c r="Q9" s="199"/>
      <c r="R9" s="199"/>
      <c r="S9" s="199"/>
      <c r="T9" s="199"/>
      <c r="U9" s="199"/>
      <c r="V9" s="199"/>
      <c r="W9" s="199"/>
      <c r="X9" s="199"/>
      <c r="Y9" s="199"/>
      <c r="Z9" s="110"/>
      <c r="AA9" s="110"/>
      <c r="AB9" s="110"/>
    </row>
    <row r="10" spans="1:30" ht="18.75" hidden="1" customHeight="1">
      <c r="A10" s="198" t="s">
        <v>169</v>
      </c>
      <c r="B10" s="198"/>
      <c r="C10" s="198"/>
      <c r="D10" s="198"/>
      <c r="E10" s="198"/>
      <c r="F10" s="198"/>
      <c r="G10" s="198"/>
      <c r="H10" s="198"/>
      <c r="I10" s="198"/>
      <c r="J10" s="198"/>
      <c r="K10" s="198"/>
      <c r="L10" s="198"/>
      <c r="M10" s="198"/>
      <c r="N10" s="198"/>
      <c r="O10" s="198"/>
      <c r="P10" s="198"/>
      <c r="Q10" s="198"/>
      <c r="R10" s="198"/>
      <c r="S10" s="198"/>
      <c r="T10" s="198"/>
      <c r="U10" s="198"/>
      <c r="V10" s="198"/>
      <c r="W10" s="198"/>
      <c r="X10" s="198"/>
      <c r="Y10" s="198"/>
      <c r="Z10" s="198"/>
      <c r="AA10" s="198"/>
      <c r="AB10" s="198"/>
    </row>
    <row r="11" spans="1:30" ht="18.75" hidden="1" customHeight="1">
      <c r="A11" s="198" t="s">
        <v>170</v>
      </c>
      <c r="B11" s="198"/>
      <c r="C11" s="198"/>
      <c r="D11" s="198"/>
      <c r="E11" s="198"/>
      <c r="F11" s="198"/>
      <c r="G11" s="198"/>
      <c r="H11" s="198"/>
      <c r="I11" s="198"/>
      <c r="J11" s="198"/>
      <c r="K11" s="198"/>
      <c r="L11" s="198"/>
      <c r="M11" s="198"/>
      <c r="N11" s="198"/>
      <c r="O11" s="198"/>
      <c r="P11" s="198"/>
      <c r="Q11" s="198"/>
      <c r="R11" s="198"/>
      <c r="S11" s="198"/>
      <c r="T11" s="198"/>
      <c r="U11" s="198"/>
      <c r="V11" s="198"/>
      <c r="W11" s="198"/>
      <c r="X11" s="198"/>
      <c r="Y11" s="198"/>
      <c r="Z11" s="198"/>
      <c r="AA11" s="198"/>
      <c r="AB11" s="198"/>
      <c r="AC11" s="198"/>
    </row>
    <row r="12" spans="1:30" ht="11.25" customHeight="1">
      <c r="A12" s="197"/>
      <c r="B12" s="197"/>
      <c r="C12" s="109"/>
      <c r="D12" s="109"/>
      <c r="E12" s="109"/>
      <c r="F12" s="109"/>
      <c r="G12" s="109"/>
      <c r="H12" s="200" t="s">
        <v>214</v>
      </c>
      <c r="I12" s="201"/>
      <c r="J12" s="201"/>
      <c r="K12" s="201"/>
      <c r="L12" s="201"/>
      <c r="M12" s="201"/>
      <c r="N12" s="201"/>
      <c r="O12" s="201"/>
      <c r="P12" s="201"/>
      <c r="Q12" s="201"/>
      <c r="R12" s="201"/>
      <c r="S12" s="201"/>
      <c r="T12" s="201"/>
      <c r="U12" s="201"/>
      <c r="V12" s="201"/>
      <c r="W12" s="201"/>
      <c r="X12" s="201"/>
      <c r="Y12" s="201"/>
      <c r="Z12" s="201"/>
      <c r="AA12" s="201"/>
      <c r="AB12" s="201"/>
      <c r="AC12" s="201"/>
    </row>
    <row r="13" spans="1:30" ht="3" customHeight="1">
      <c r="B13" s="108"/>
    </row>
    <row r="14" spans="1:30" ht="29.25" customHeight="1">
      <c r="A14" s="230" t="s">
        <v>2</v>
      </c>
      <c r="B14" s="231" t="s">
        <v>6</v>
      </c>
      <c r="C14" s="232" t="s">
        <v>69</v>
      </c>
      <c r="D14" s="231" t="s">
        <v>286</v>
      </c>
      <c r="E14" s="231" t="s">
        <v>19</v>
      </c>
      <c r="F14" s="231" t="s">
        <v>20</v>
      </c>
      <c r="G14" s="231" t="s">
        <v>21</v>
      </c>
      <c r="H14" s="232" t="s">
        <v>71</v>
      </c>
      <c r="I14" s="231" t="s">
        <v>22</v>
      </c>
      <c r="J14" s="233"/>
      <c r="K14" s="233"/>
      <c r="L14" s="234" t="s">
        <v>259</v>
      </c>
      <c r="M14" s="234" t="s">
        <v>310</v>
      </c>
      <c r="N14" s="234"/>
      <c r="O14" s="234"/>
      <c r="P14" s="234"/>
      <c r="Q14" s="234"/>
      <c r="R14" s="234" t="s">
        <v>260</v>
      </c>
      <c r="S14" s="234" t="s">
        <v>193</v>
      </c>
      <c r="T14" s="234" t="s">
        <v>261</v>
      </c>
      <c r="U14" s="234" t="s">
        <v>316</v>
      </c>
      <c r="V14" s="147"/>
      <c r="W14" s="234" t="s">
        <v>262</v>
      </c>
      <c r="X14" s="235" t="s">
        <v>263</v>
      </c>
      <c r="Y14" s="235" t="s">
        <v>264</v>
      </c>
      <c r="Z14" s="236" t="s">
        <v>317</v>
      </c>
      <c r="AA14" s="236" t="s">
        <v>23</v>
      </c>
      <c r="AB14" s="231" t="s">
        <v>77</v>
      </c>
      <c r="AC14" s="236" t="s">
        <v>0</v>
      </c>
      <c r="AD14" s="204"/>
    </row>
    <row r="15" spans="1:30" ht="158.25" customHeight="1">
      <c r="A15" s="230"/>
      <c r="B15" s="231"/>
      <c r="C15" s="232"/>
      <c r="D15" s="231"/>
      <c r="E15" s="231"/>
      <c r="F15" s="231"/>
      <c r="G15" s="231"/>
      <c r="H15" s="232"/>
      <c r="I15" s="231"/>
      <c r="J15" s="106" t="s">
        <v>308</v>
      </c>
      <c r="K15" s="106" t="s">
        <v>309</v>
      </c>
      <c r="L15" s="234"/>
      <c r="M15" s="147" t="s">
        <v>311</v>
      </c>
      <c r="N15" s="147" t="s">
        <v>315</v>
      </c>
      <c r="O15" s="147" t="s">
        <v>312</v>
      </c>
      <c r="P15" s="147" t="s">
        <v>313</v>
      </c>
      <c r="Q15" s="148" t="s">
        <v>314</v>
      </c>
      <c r="R15" s="234"/>
      <c r="S15" s="234"/>
      <c r="T15" s="234"/>
      <c r="U15" s="234"/>
      <c r="V15" s="237" t="s">
        <v>79</v>
      </c>
      <c r="W15" s="234"/>
      <c r="X15" s="235"/>
      <c r="Y15" s="235"/>
      <c r="Z15" s="236"/>
      <c r="AA15" s="236"/>
      <c r="AB15" s="231"/>
      <c r="AC15" s="236"/>
      <c r="AD15" s="205"/>
    </row>
    <row r="16" spans="1:30" ht="28.5" hidden="1" customHeight="1">
      <c r="A16" s="238"/>
      <c r="B16" s="239"/>
      <c r="C16" s="131"/>
      <c r="D16" s="239"/>
      <c r="E16" s="239"/>
      <c r="F16" s="239"/>
      <c r="G16" s="239"/>
      <c r="H16" s="131"/>
      <c r="I16" s="239"/>
      <c r="J16" s="106">
        <v>150</v>
      </c>
      <c r="K16" s="106">
        <v>40</v>
      </c>
      <c r="L16" s="147"/>
      <c r="M16" s="149">
        <v>15</v>
      </c>
      <c r="N16" s="149">
        <v>10</v>
      </c>
      <c r="O16" s="149">
        <v>10</v>
      </c>
      <c r="P16" s="149">
        <v>6</v>
      </c>
      <c r="Q16" s="149">
        <v>20</v>
      </c>
      <c r="R16" s="149"/>
      <c r="S16" s="149">
        <v>10</v>
      </c>
      <c r="T16" s="149"/>
      <c r="U16" s="149">
        <v>300</v>
      </c>
      <c r="V16" s="149">
        <v>500</v>
      </c>
      <c r="W16" s="149"/>
      <c r="X16" s="149"/>
      <c r="Y16" s="149"/>
      <c r="Z16" s="240"/>
      <c r="AA16" s="240"/>
      <c r="AB16" s="239"/>
      <c r="AC16" s="240"/>
      <c r="AD16" s="118"/>
    </row>
    <row r="17" spans="1:30" ht="16.5" customHeight="1">
      <c r="A17" s="119" t="s">
        <v>51</v>
      </c>
      <c r="B17" s="120">
        <v>2</v>
      </c>
      <c r="C17" s="120">
        <v>5</v>
      </c>
      <c r="D17" s="120">
        <v>6</v>
      </c>
      <c r="E17" s="120">
        <v>7</v>
      </c>
      <c r="F17" s="120">
        <v>8</v>
      </c>
      <c r="G17" s="120">
        <v>9</v>
      </c>
      <c r="H17" s="121" t="s">
        <v>65</v>
      </c>
      <c r="I17" s="121" t="s">
        <v>62</v>
      </c>
      <c r="J17" s="121"/>
      <c r="K17" s="121"/>
      <c r="L17" s="122"/>
      <c r="M17" s="122"/>
      <c r="N17" s="122"/>
      <c r="O17" s="122"/>
      <c r="P17" s="122"/>
      <c r="Q17" s="122"/>
      <c r="R17" s="122"/>
      <c r="S17" s="122"/>
      <c r="T17" s="122"/>
      <c r="U17" s="122"/>
      <c r="V17" s="122"/>
      <c r="W17" s="122"/>
      <c r="X17" s="122"/>
      <c r="Y17" s="122"/>
      <c r="Z17" s="120"/>
      <c r="AA17" s="120">
        <v>12</v>
      </c>
      <c r="AB17" s="120">
        <v>13</v>
      </c>
      <c r="AC17" s="120">
        <v>14</v>
      </c>
      <c r="AD17" s="112"/>
    </row>
    <row r="18" spans="1:30" s="108" customFormat="1" ht="31.5" customHeight="1">
      <c r="A18" s="123" t="s">
        <v>5</v>
      </c>
      <c r="B18" s="124" t="s">
        <v>350</v>
      </c>
      <c r="C18" s="124"/>
      <c r="D18" s="124"/>
      <c r="E18" s="150"/>
      <c r="F18" s="124"/>
      <c r="G18" s="124"/>
      <c r="H18" s="124"/>
      <c r="I18" s="124"/>
      <c r="J18" s="124"/>
      <c r="K18" s="124"/>
      <c r="L18" s="124"/>
      <c r="M18" s="124"/>
      <c r="N18" s="124"/>
      <c r="O18" s="124"/>
      <c r="P18" s="124"/>
      <c r="Q18" s="124"/>
      <c r="R18" s="124"/>
      <c r="S18" s="124"/>
      <c r="T18" s="124"/>
      <c r="U18" s="124"/>
      <c r="V18" s="124"/>
      <c r="W18" s="124"/>
      <c r="X18" s="124"/>
      <c r="Y18" s="151"/>
      <c r="Z18" s="152">
        <f>Z19+Z36+Z42</f>
        <v>104950</v>
      </c>
      <c r="AA18" s="152">
        <f>SUM(AA42+AA36)</f>
        <v>452800</v>
      </c>
      <c r="AB18" s="124"/>
      <c r="AC18" s="124"/>
      <c r="AD18" s="153"/>
    </row>
    <row r="19" spans="1:30" ht="22.5" customHeight="1">
      <c r="A19" s="125" t="s">
        <v>1</v>
      </c>
      <c r="B19" s="126" t="s">
        <v>276</v>
      </c>
      <c r="C19" s="125"/>
      <c r="D19" s="125"/>
      <c r="E19" s="125"/>
      <c r="F19" s="125"/>
      <c r="G19" s="125"/>
      <c r="H19" s="125"/>
      <c r="I19" s="125"/>
      <c r="J19" s="125"/>
      <c r="K19" s="125"/>
      <c r="L19" s="125"/>
      <c r="M19" s="125"/>
      <c r="N19" s="125"/>
      <c r="O19" s="125"/>
      <c r="P19" s="125"/>
      <c r="Q19" s="125"/>
      <c r="R19" s="125"/>
      <c r="S19" s="125"/>
      <c r="T19" s="125"/>
      <c r="U19" s="125"/>
      <c r="V19" s="125"/>
      <c r="W19" s="125"/>
      <c r="X19" s="154"/>
      <c r="Y19" s="154"/>
      <c r="Z19" s="154"/>
      <c r="AA19" s="154"/>
      <c r="AB19" s="125"/>
      <c r="AC19" s="155"/>
      <c r="AD19" s="156"/>
    </row>
    <row r="20" spans="1:30" ht="50.25" hidden="1" customHeight="1">
      <c r="A20" s="192"/>
      <c r="B20" s="130" t="s">
        <v>174</v>
      </c>
      <c r="C20" s="157" t="s">
        <v>87</v>
      </c>
      <c r="D20" s="157"/>
      <c r="E20" s="128" t="s">
        <v>266</v>
      </c>
      <c r="F20" s="192"/>
      <c r="G20" s="192" t="s">
        <v>254</v>
      </c>
      <c r="H20" s="192"/>
      <c r="I20" s="192" t="s">
        <v>267</v>
      </c>
      <c r="J20" s="192"/>
      <c r="K20" s="192"/>
      <c r="L20" s="143"/>
      <c r="M20" s="143"/>
      <c r="N20" s="143"/>
      <c r="O20" s="143"/>
      <c r="P20" s="143"/>
      <c r="Q20" s="143"/>
      <c r="R20" s="143"/>
      <c r="S20" s="143"/>
      <c r="T20" s="143"/>
      <c r="U20" s="143"/>
      <c r="V20" s="143"/>
      <c r="W20" s="143"/>
      <c r="X20" s="143"/>
      <c r="Y20" s="143"/>
      <c r="Z20" s="143"/>
      <c r="AA20" s="143"/>
      <c r="AB20" s="192" t="s">
        <v>254</v>
      </c>
      <c r="AC20" s="106" t="s">
        <v>268</v>
      </c>
      <c r="AD20" s="156"/>
    </row>
    <row r="21" spans="1:30" ht="29.25" hidden="1" customHeight="1">
      <c r="A21" s="192" t="s">
        <v>54</v>
      </c>
      <c r="B21" s="130" t="s">
        <v>176</v>
      </c>
      <c r="C21" s="157" t="s">
        <v>16</v>
      </c>
      <c r="D21" s="157"/>
      <c r="E21" s="206" t="s">
        <v>255</v>
      </c>
      <c r="F21" s="192"/>
      <c r="G21" s="206" t="s">
        <v>90</v>
      </c>
      <c r="H21" s="192"/>
      <c r="I21" s="192" t="s">
        <v>50</v>
      </c>
      <c r="J21" s="192"/>
      <c r="K21" s="192"/>
      <c r="L21" s="143"/>
      <c r="M21" s="143"/>
      <c r="N21" s="143"/>
      <c r="O21" s="143"/>
      <c r="P21" s="143"/>
      <c r="Q21" s="143"/>
      <c r="R21" s="143"/>
      <c r="S21" s="143"/>
      <c r="T21" s="143"/>
      <c r="U21" s="143"/>
      <c r="V21" s="143"/>
      <c r="W21" s="143"/>
      <c r="X21" s="143"/>
      <c r="Y21" s="143"/>
      <c r="Z21" s="143"/>
      <c r="AA21" s="143"/>
      <c r="AB21" s="206" t="s">
        <v>90</v>
      </c>
      <c r="AC21" s="158"/>
      <c r="AD21" s="159"/>
    </row>
    <row r="22" spans="1:30" ht="27.75" hidden="1" customHeight="1">
      <c r="A22" s="192" t="s">
        <v>55</v>
      </c>
      <c r="B22" s="130" t="s">
        <v>177</v>
      </c>
      <c r="C22" s="157" t="s">
        <v>16</v>
      </c>
      <c r="D22" s="157"/>
      <c r="E22" s="206"/>
      <c r="F22" s="192"/>
      <c r="G22" s="206"/>
      <c r="H22" s="192"/>
      <c r="I22" s="192" t="s">
        <v>50</v>
      </c>
      <c r="J22" s="192"/>
      <c r="K22" s="192"/>
      <c r="L22" s="143"/>
      <c r="M22" s="143"/>
      <c r="N22" s="143"/>
      <c r="O22" s="143"/>
      <c r="P22" s="143"/>
      <c r="Q22" s="143"/>
      <c r="R22" s="143"/>
      <c r="S22" s="143"/>
      <c r="T22" s="143"/>
      <c r="U22" s="143"/>
      <c r="V22" s="143"/>
      <c r="W22" s="143"/>
      <c r="X22" s="143"/>
      <c r="Y22" s="143"/>
      <c r="Z22" s="143"/>
      <c r="AA22" s="143"/>
      <c r="AB22" s="206"/>
      <c r="AC22" s="158"/>
      <c r="AD22" s="159"/>
    </row>
    <row r="23" spans="1:30" ht="30.75" hidden="1" customHeight="1">
      <c r="A23" s="192" t="s">
        <v>59</v>
      </c>
      <c r="B23" s="130" t="s">
        <v>178</v>
      </c>
      <c r="C23" s="157" t="s">
        <v>16</v>
      </c>
      <c r="D23" s="157"/>
      <c r="E23" s="206"/>
      <c r="F23" s="192"/>
      <c r="G23" s="206"/>
      <c r="H23" s="192"/>
      <c r="I23" s="192" t="s">
        <v>50</v>
      </c>
      <c r="J23" s="192"/>
      <c r="K23" s="192"/>
      <c r="L23" s="143"/>
      <c r="M23" s="143"/>
      <c r="N23" s="143"/>
      <c r="O23" s="143"/>
      <c r="P23" s="143"/>
      <c r="Q23" s="143"/>
      <c r="R23" s="143"/>
      <c r="S23" s="143"/>
      <c r="T23" s="143"/>
      <c r="U23" s="143"/>
      <c r="V23" s="143"/>
      <c r="W23" s="143"/>
      <c r="X23" s="143"/>
      <c r="Y23" s="143"/>
      <c r="Z23" s="143"/>
      <c r="AA23" s="143"/>
      <c r="AB23" s="206"/>
      <c r="AC23" s="158"/>
      <c r="AD23" s="159"/>
    </row>
    <row r="24" spans="1:30" ht="27.75" hidden="1" customHeight="1">
      <c r="A24" s="192" t="s">
        <v>60</v>
      </c>
      <c r="B24" s="130" t="s">
        <v>194</v>
      </c>
      <c r="C24" s="157" t="s">
        <v>16</v>
      </c>
      <c r="D24" s="157"/>
      <c r="E24" s="206"/>
      <c r="F24" s="192"/>
      <c r="G24" s="206"/>
      <c r="H24" s="192"/>
      <c r="I24" s="192"/>
      <c r="J24" s="192"/>
      <c r="K24" s="192"/>
      <c r="L24" s="143"/>
      <c r="M24" s="143"/>
      <c r="N24" s="143"/>
      <c r="O24" s="143"/>
      <c r="P24" s="143"/>
      <c r="Q24" s="143"/>
      <c r="R24" s="143"/>
      <c r="S24" s="143"/>
      <c r="T24" s="143"/>
      <c r="U24" s="143"/>
      <c r="V24" s="143"/>
      <c r="W24" s="143"/>
      <c r="X24" s="143"/>
      <c r="Y24" s="143"/>
      <c r="Z24" s="143"/>
      <c r="AA24" s="143"/>
      <c r="AB24" s="206"/>
      <c r="AC24" s="158"/>
      <c r="AD24" s="159"/>
    </row>
    <row r="25" spans="1:30" ht="24" hidden="1" customHeight="1">
      <c r="A25" s="192" t="s">
        <v>61</v>
      </c>
      <c r="B25" s="137" t="s">
        <v>94</v>
      </c>
      <c r="C25" s="157" t="s">
        <v>16</v>
      </c>
      <c r="D25" s="157"/>
      <c r="E25" s="206"/>
      <c r="F25" s="192"/>
      <c r="G25" s="206"/>
      <c r="H25" s="192"/>
      <c r="I25" s="192" t="s">
        <v>8</v>
      </c>
      <c r="J25" s="192"/>
      <c r="K25" s="192"/>
      <c r="L25" s="143"/>
      <c r="M25" s="143"/>
      <c r="N25" s="143"/>
      <c r="O25" s="143"/>
      <c r="P25" s="143"/>
      <c r="Q25" s="143"/>
      <c r="R25" s="143"/>
      <c r="S25" s="143"/>
      <c r="T25" s="143"/>
      <c r="U25" s="143"/>
      <c r="V25" s="143"/>
      <c r="W25" s="143"/>
      <c r="X25" s="143"/>
      <c r="Y25" s="143"/>
      <c r="Z25" s="143"/>
      <c r="AA25" s="143"/>
      <c r="AB25" s="206"/>
      <c r="AC25" s="158"/>
      <c r="AD25" s="159"/>
    </row>
    <row r="26" spans="1:30" ht="23.25" hidden="1" customHeight="1">
      <c r="A26" s="192" t="s">
        <v>65</v>
      </c>
      <c r="B26" s="137" t="s">
        <v>216</v>
      </c>
      <c r="C26" s="157" t="s">
        <v>16</v>
      </c>
      <c r="D26" s="157"/>
      <c r="E26" s="206"/>
      <c r="F26" s="192"/>
      <c r="G26" s="206"/>
      <c r="H26" s="192"/>
      <c r="I26" s="192" t="s">
        <v>51</v>
      </c>
      <c r="J26" s="192"/>
      <c r="K26" s="192"/>
      <c r="L26" s="143"/>
      <c r="M26" s="143"/>
      <c r="N26" s="143"/>
      <c r="O26" s="143"/>
      <c r="P26" s="143"/>
      <c r="Q26" s="143"/>
      <c r="R26" s="143"/>
      <c r="S26" s="143"/>
      <c r="T26" s="143"/>
      <c r="U26" s="143"/>
      <c r="V26" s="143"/>
      <c r="W26" s="143"/>
      <c r="X26" s="143"/>
      <c r="Y26" s="143"/>
      <c r="Z26" s="143"/>
      <c r="AA26" s="143"/>
      <c r="AB26" s="206"/>
      <c r="AC26" s="158"/>
      <c r="AD26" s="159"/>
    </row>
    <row r="27" spans="1:30" ht="32.25" hidden="1" customHeight="1">
      <c r="A27" s="192" t="s">
        <v>62</v>
      </c>
      <c r="B27" s="160" t="s">
        <v>195</v>
      </c>
      <c r="C27" s="157" t="s">
        <v>16</v>
      </c>
      <c r="D27" s="157"/>
      <c r="E27" s="206"/>
      <c r="F27" s="192"/>
      <c r="G27" s="206"/>
      <c r="H27" s="192"/>
      <c r="I27" s="192" t="s">
        <v>50</v>
      </c>
      <c r="J27" s="192"/>
      <c r="K27" s="192"/>
      <c r="L27" s="143"/>
      <c r="M27" s="143"/>
      <c r="N27" s="143"/>
      <c r="O27" s="143"/>
      <c r="P27" s="143"/>
      <c r="Q27" s="143"/>
      <c r="R27" s="143"/>
      <c r="S27" s="143"/>
      <c r="T27" s="143"/>
      <c r="U27" s="143"/>
      <c r="V27" s="143"/>
      <c r="W27" s="143"/>
      <c r="X27" s="143"/>
      <c r="Y27" s="143"/>
      <c r="Z27" s="143"/>
      <c r="AA27" s="143"/>
      <c r="AB27" s="206"/>
      <c r="AC27" s="158"/>
      <c r="AD27" s="159" t="s">
        <v>196</v>
      </c>
    </row>
    <row r="28" spans="1:30" ht="25.5" hidden="1" customHeight="1">
      <c r="A28" s="192" t="s">
        <v>63</v>
      </c>
      <c r="B28" s="130" t="s">
        <v>89</v>
      </c>
      <c r="C28" s="157" t="s">
        <v>87</v>
      </c>
      <c r="D28" s="157"/>
      <c r="E28" s="206"/>
      <c r="F28" s="192"/>
      <c r="G28" s="206"/>
      <c r="H28" s="192"/>
      <c r="I28" s="192" t="s">
        <v>65</v>
      </c>
      <c r="J28" s="192"/>
      <c r="K28" s="192"/>
      <c r="L28" s="143"/>
      <c r="M28" s="143"/>
      <c r="N28" s="143"/>
      <c r="O28" s="143"/>
      <c r="P28" s="143"/>
      <c r="Q28" s="143"/>
      <c r="R28" s="143"/>
      <c r="S28" s="143"/>
      <c r="T28" s="143"/>
      <c r="U28" s="143"/>
      <c r="V28" s="143"/>
      <c r="W28" s="143"/>
      <c r="X28" s="143"/>
      <c r="Y28" s="143"/>
      <c r="Z28" s="143"/>
      <c r="AA28" s="143"/>
      <c r="AB28" s="206"/>
      <c r="AC28" s="161"/>
      <c r="AD28" s="162"/>
    </row>
    <row r="29" spans="1:30" ht="115.5" hidden="1" customHeight="1">
      <c r="A29" s="192" t="s">
        <v>64</v>
      </c>
      <c r="B29" s="130" t="s">
        <v>91</v>
      </c>
      <c r="C29" s="157" t="s">
        <v>179</v>
      </c>
      <c r="D29" s="157"/>
      <c r="E29" s="206"/>
      <c r="F29" s="192"/>
      <c r="G29" s="206"/>
      <c r="H29" s="192"/>
      <c r="I29" s="192" t="s">
        <v>50</v>
      </c>
      <c r="J29" s="192"/>
      <c r="K29" s="192"/>
      <c r="L29" s="143"/>
      <c r="M29" s="143"/>
      <c r="N29" s="143"/>
      <c r="O29" s="143"/>
      <c r="P29" s="143"/>
      <c r="Q29" s="143"/>
      <c r="R29" s="143"/>
      <c r="S29" s="143"/>
      <c r="T29" s="143"/>
      <c r="U29" s="143"/>
      <c r="V29" s="143"/>
      <c r="W29" s="143"/>
      <c r="X29" s="143"/>
      <c r="Y29" s="143"/>
      <c r="Z29" s="143"/>
      <c r="AA29" s="143"/>
      <c r="AB29" s="206"/>
      <c r="AC29" s="163"/>
      <c r="AD29" s="159" t="s">
        <v>180</v>
      </c>
    </row>
    <row r="30" spans="1:30" ht="27" hidden="1" customHeight="1">
      <c r="A30" s="192" t="s">
        <v>66</v>
      </c>
      <c r="B30" s="130" t="s">
        <v>92</v>
      </c>
      <c r="C30" s="157" t="s">
        <v>87</v>
      </c>
      <c r="D30" s="157"/>
      <c r="E30" s="206"/>
      <c r="F30" s="192"/>
      <c r="G30" s="206"/>
      <c r="H30" s="192"/>
      <c r="I30" s="192"/>
      <c r="J30" s="192"/>
      <c r="K30" s="192"/>
      <c r="L30" s="143"/>
      <c r="M30" s="143"/>
      <c r="N30" s="143"/>
      <c r="O30" s="143"/>
      <c r="P30" s="143"/>
      <c r="Q30" s="143"/>
      <c r="R30" s="143"/>
      <c r="S30" s="143"/>
      <c r="T30" s="143"/>
      <c r="U30" s="143"/>
      <c r="V30" s="143"/>
      <c r="W30" s="143"/>
      <c r="X30" s="143"/>
      <c r="Y30" s="143"/>
      <c r="Z30" s="143"/>
      <c r="AA30" s="143"/>
      <c r="AB30" s="206"/>
      <c r="AC30" s="163"/>
      <c r="AD30" s="159" t="s">
        <v>181</v>
      </c>
    </row>
    <row r="31" spans="1:30" ht="36" hidden="1" customHeight="1">
      <c r="A31" s="192" t="s">
        <v>67</v>
      </c>
      <c r="B31" s="130" t="s">
        <v>198</v>
      </c>
      <c r="C31" s="157" t="s">
        <v>182</v>
      </c>
      <c r="D31" s="157"/>
      <c r="E31" s="206"/>
      <c r="F31" s="192"/>
      <c r="G31" s="206"/>
      <c r="H31" s="192"/>
      <c r="I31" s="192" t="s">
        <v>7</v>
      </c>
      <c r="J31" s="192"/>
      <c r="K31" s="192"/>
      <c r="L31" s="143"/>
      <c r="M31" s="143"/>
      <c r="N31" s="143"/>
      <c r="O31" s="143"/>
      <c r="P31" s="143"/>
      <c r="Q31" s="143"/>
      <c r="R31" s="143"/>
      <c r="S31" s="143"/>
      <c r="T31" s="143"/>
      <c r="U31" s="143"/>
      <c r="V31" s="143"/>
      <c r="W31" s="143"/>
      <c r="X31" s="143"/>
      <c r="Y31" s="143"/>
      <c r="Z31" s="143"/>
      <c r="AA31" s="143"/>
      <c r="AB31" s="206"/>
      <c r="AC31" s="163"/>
      <c r="AD31" s="159" t="s">
        <v>199</v>
      </c>
    </row>
    <row r="32" spans="1:30" ht="28.5" hidden="1" customHeight="1">
      <c r="A32" s="192" t="s">
        <v>52</v>
      </c>
      <c r="B32" s="130" t="s">
        <v>93</v>
      </c>
      <c r="C32" s="164" t="s">
        <v>182</v>
      </c>
      <c r="D32" s="157"/>
      <c r="E32" s="206"/>
      <c r="F32" s="192"/>
      <c r="G32" s="206"/>
      <c r="H32" s="192"/>
      <c r="I32" s="192" t="s">
        <v>8</v>
      </c>
      <c r="J32" s="192"/>
      <c r="K32" s="192"/>
      <c r="L32" s="143"/>
      <c r="M32" s="143"/>
      <c r="N32" s="143"/>
      <c r="O32" s="143"/>
      <c r="P32" s="143"/>
      <c r="Q32" s="143"/>
      <c r="R32" s="143"/>
      <c r="S32" s="143"/>
      <c r="T32" s="143"/>
      <c r="U32" s="143"/>
      <c r="V32" s="143"/>
      <c r="W32" s="143"/>
      <c r="X32" s="143"/>
      <c r="Y32" s="143"/>
      <c r="Z32" s="143"/>
      <c r="AA32" s="143"/>
      <c r="AB32" s="206"/>
      <c r="AC32" s="163"/>
      <c r="AD32" s="165" t="s">
        <v>183</v>
      </c>
    </row>
    <row r="33" spans="1:31" ht="137.25" hidden="1" customHeight="1">
      <c r="A33" s="192" t="s">
        <v>215</v>
      </c>
      <c r="B33" s="130" t="s">
        <v>200</v>
      </c>
      <c r="C33" s="157" t="s">
        <v>201</v>
      </c>
      <c r="D33" s="157"/>
      <c r="E33" s="206"/>
      <c r="F33" s="192"/>
      <c r="G33" s="206"/>
      <c r="H33" s="192"/>
      <c r="I33" s="192" t="s">
        <v>65</v>
      </c>
      <c r="J33" s="192"/>
      <c r="K33" s="192"/>
      <c r="L33" s="143"/>
      <c r="M33" s="143"/>
      <c r="N33" s="143"/>
      <c r="O33" s="143"/>
      <c r="P33" s="143"/>
      <c r="Q33" s="143"/>
      <c r="R33" s="143"/>
      <c r="S33" s="143"/>
      <c r="T33" s="143"/>
      <c r="U33" s="143"/>
      <c r="V33" s="143"/>
      <c r="W33" s="143"/>
      <c r="X33" s="143"/>
      <c r="Y33" s="143"/>
      <c r="Z33" s="143"/>
      <c r="AA33" s="143"/>
      <c r="AB33" s="206"/>
      <c r="AC33" s="163"/>
      <c r="AD33" s="159" t="s">
        <v>202</v>
      </c>
    </row>
    <row r="34" spans="1:31" ht="21.75" hidden="1" customHeight="1">
      <c r="A34" s="192" t="s">
        <v>82</v>
      </c>
      <c r="B34" s="130" t="s">
        <v>256</v>
      </c>
      <c r="C34" s="157" t="s">
        <v>87</v>
      </c>
      <c r="D34" s="157"/>
      <c r="E34" s="206"/>
      <c r="F34" s="192"/>
      <c r="G34" s="206"/>
      <c r="H34" s="192"/>
      <c r="I34" s="192" t="s">
        <v>66</v>
      </c>
      <c r="J34" s="192"/>
      <c r="K34" s="192"/>
      <c r="L34" s="143"/>
      <c r="M34" s="143"/>
      <c r="N34" s="143"/>
      <c r="O34" s="143"/>
      <c r="P34" s="143"/>
      <c r="Q34" s="143"/>
      <c r="R34" s="143"/>
      <c r="S34" s="143"/>
      <c r="T34" s="143"/>
      <c r="U34" s="143"/>
      <c r="V34" s="143"/>
      <c r="W34" s="143"/>
      <c r="X34" s="143"/>
      <c r="Y34" s="143"/>
      <c r="Z34" s="143"/>
      <c r="AA34" s="143"/>
      <c r="AB34" s="206"/>
      <c r="AC34" s="163"/>
      <c r="AD34" s="159"/>
    </row>
    <row r="35" spans="1:31" ht="21.75" customHeight="1">
      <c r="A35" s="192"/>
      <c r="B35" s="130"/>
      <c r="C35" s="157"/>
      <c r="D35" s="157"/>
      <c r="E35" s="192"/>
      <c r="F35" s="192"/>
      <c r="G35" s="192"/>
      <c r="H35" s="192"/>
      <c r="I35" s="192"/>
      <c r="J35" s="192"/>
      <c r="K35" s="192"/>
      <c r="L35" s="143"/>
      <c r="M35" s="143"/>
      <c r="N35" s="143"/>
      <c r="O35" s="143"/>
      <c r="P35" s="143"/>
      <c r="Q35" s="143"/>
      <c r="R35" s="143"/>
      <c r="S35" s="143"/>
      <c r="T35" s="143"/>
      <c r="U35" s="143"/>
      <c r="V35" s="143"/>
      <c r="W35" s="143"/>
      <c r="X35" s="143"/>
      <c r="Y35" s="143"/>
      <c r="Z35" s="143"/>
      <c r="AA35" s="143"/>
      <c r="AB35" s="192"/>
      <c r="AC35" s="163"/>
      <c r="AD35" s="159"/>
    </row>
    <row r="36" spans="1:31" ht="28.5" customHeight="1">
      <c r="A36" s="125" t="s">
        <v>3</v>
      </c>
      <c r="B36" s="127" t="s">
        <v>277</v>
      </c>
      <c r="C36" s="127"/>
      <c r="D36" s="127"/>
      <c r="E36" s="127"/>
      <c r="F36" s="127"/>
      <c r="G36" s="127"/>
      <c r="H36" s="127"/>
      <c r="I36" s="127"/>
      <c r="J36" s="127"/>
      <c r="K36" s="127"/>
      <c r="L36" s="127"/>
      <c r="M36" s="127"/>
      <c r="N36" s="127"/>
      <c r="O36" s="127"/>
      <c r="P36" s="127"/>
      <c r="Q36" s="127"/>
      <c r="R36" s="127"/>
      <c r="S36" s="127"/>
      <c r="T36" s="127"/>
      <c r="U36" s="127"/>
      <c r="V36" s="127"/>
      <c r="W36" s="127"/>
      <c r="X36" s="127"/>
      <c r="Y36" s="127"/>
      <c r="Z36" s="166">
        <f>SUM(Z37:Z41)</f>
        <v>104950</v>
      </c>
      <c r="AA36" s="166">
        <f>SUM(AA37:AA41)</f>
        <v>404800</v>
      </c>
      <c r="AB36" s="127"/>
      <c r="AC36" s="127"/>
      <c r="AD36" s="112"/>
    </row>
    <row r="37" spans="1:31" ht="64.5" customHeight="1">
      <c r="A37" s="192" t="s">
        <v>51</v>
      </c>
      <c r="B37" s="128" t="s">
        <v>304</v>
      </c>
      <c r="C37" s="128" t="s">
        <v>283</v>
      </c>
      <c r="D37" s="192" t="s">
        <v>278</v>
      </c>
      <c r="E37" s="128" t="s">
        <v>285</v>
      </c>
      <c r="F37" s="129" t="s">
        <v>302</v>
      </c>
      <c r="G37" s="192" t="s">
        <v>51</v>
      </c>
      <c r="H37" s="192" t="s">
        <v>50</v>
      </c>
      <c r="I37" s="192" t="s">
        <v>50</v>
      </c>
      <c r="J37" s="192" t="s">
        <v>306</v>
      </c>
      <c r="K37" s="192" t="s">
        <v>305</v>
      </c>
      <c r="L37" s="134">
        <f t="shared" ref="L37:L41" si="0">(J37*$J$16)+(K37*$K$16)</f>
        <v>80200</v>
      </c>
      <c r="M37" s="134"/>
      <c r="N37" s="134"/>
      <c r="O37" s="134"/>
      <c r="P37" s="134"/>
      <c r="Q37" s="134"/>
      <c r="R37" s="134">
        <v>1000</v>
      </c>
      <c r="S37" s="134">
        <f>F37*$S$16*(I37+1)</f>
        <v>3600</v>
      </c>
      <c r="T37" s="134"/>
      <c r="U37" s="134"/>
      <c r="V37" s="134"/>
      <c r="W37" s="134"/>
      <c r="X37" s="134">
        <f t="shared" ref="X37:X41" si="1">SUM(L37:S37)</f>
        <v>84800</v>
      </c>
      <c r="Y37" s="134">
        <f>SUM(T37:W37)</f>
        <v>0</v>
      </c>
      <c r="Z37" s="134">
        <f>SUM(X37:Y37)</f>
        <v>84800</v>
      </c>
      <c r="AA37" s="134">
        <f>SUM(Y37:Z37)</f>
        <v>84800</v>
      </c>
      <c r="AB37" s="130" t="s">
        <v>301</v>
      </c>
      <c r="AC37" s="137"/>
      <c r="AD37" s="113" t="s">
        <v>293</v>
      </c>
      <c r="AE37" s="167"/>
    </row>
    <row r="38" spans="1:31" ht="67.5" customHeight="1">
      <c r="A38" s="192" t="s">
        <v>50</v>
      </c>
      <c r="B38" s="128" t="s">
        <v>287</v>
      </c>
      <c r="C38" s="128" t="s">
        <v>283</v>
      </c>
      <c r="D38" s="192" t="s">
        <v>278</v>
      </c>
      <c r="E38" s="128" t="s">
        <v>285</v>
      </c>
      <c r="F38" s="192" t="s">
        <v>54</v>
      </c>
      <c r="G38" s="192" t="s">
        <v>51</v>
      </c>
      <c r="H38" s="129" t="s">
        <v>52</v>
      </c>
      <c r="I38" s="129" t="s">
        <v>52</v>
      </c>
      <c r="J38" s="129" t="s">
        <v>307</v>
      </c>
      <c r="K38" s="129"/>
      <c r="L38" s="134">
        <f t="shared" si="0"/>
        <v>6000</v>
      </c>
      <c r="M38" s="134"/>
      <c r="N38" s="134"/>
      <c r="O38" s="134"/>
      <c r="P38" s="134"/>
      <c r="Q38" s="134"/>
      <c r="R38" s="134"/>
      <c r="S38" s="134">
        <f t="shared" ref="S38:S41" si="2">F38*$S$16*(I38+1)</f>
        <v>850</v>
      </c>
      <c r="T38" s="168"/>
      <c r="U38" s="168"/>
      <c r="V38" s="168"/>
      <c r="W38" s="168"/>
      <c r="X38" s="134">
        <f t="shared" si="1"/>
        <v>6850</v>
      </c>
      <c r="Y38" s="134">
        <f t="shared" ref="Y38:Y41" si="3">SUM(T38:W38)</f>
        <v>0</v>
      </c>
      <c r="Z38" s="134">
        <f t="shared" ref="Z38:Z46" si="4">SUM(X38:Y38)</f>
        <v>6850</v>
      </c>
      <c r="AA38" s="134">
        <v>6800</v>
      </c>
      <c r="AB38" s="129" t="s">
        <v>303</v>
      </c>
      <c r="AC38" s="169"/>
      <c r="AD38" s="112"/>
    </row>
    <row r="39" spans="1:31" ht="78" customHeight="1">
      <c r="A39" s="192" t="s">
        <v>8</v>
      </c>
      <c r="B39" s="128" t="s">
        <v>287</v>
      </c>
      <c r="C39" s="128" t="s">
        <v>288</v>
      </c>
      <c r="D39" s="192" t="s">
        <v>278</v>
      </c>
      <c r="E39" s="128" t="s">
        <v>289</v>
      </c>
      <c r="F39" s="192" t="s">
        <v>54</v>
      </c>
      <c r="G39" s="192" t="s">
        <v>51</v>
      </c>
      <c r="H39" s="129" t="s">
        <v>65</v>
      </c>
      <c r="I39" s="129" t="s">
        <v>65</v>
      </c>
      <c r="J39" s="129" t="s">
        <v>307</v>
      </c>
      <c r="K39" s="129"/>
      <c r="L39" s="134">
        <f t="shared" si="0"/>
        <v>6000</v>
      </c>
      <c r="M39" s="134"/>
      <c r="N39" s="134"/>
      <c r="O39" s="134"/>
      <c r="P39" s="134"/>
      <c r="Q39" s="134"/>
      <c r="R39" s="134"/>
      <c r="S39" s="134">
        <f t="shared" si="2"/>
        <v>550</v>
      </c>
      <c r="T39" s="168"/>
      <c r="U39" s="168"/>
      <c r="V39" s="168"/>
      <c r="W39" s="168"/>
      <c r="X39" s="134">
        <f t="shared" si="1"/>
        <v>6550</v>
      </c>
      <c r="Y39" s="134">
        <f t="shared" si="3"/>
        <v>0</v>
      </c>
      <c r="Z39" s="134">
        <f t="shared" si="4"/>
        <v>6550</v>
      </c>
      <c r="AA39" s="134">
        <v>6500</v>
      </c>
      <c r="AB39" s="132" t="s">
        <v>298</v>
      </c>
      <c r="AC39" s="169"/>
      <c r="AD39" s="170"/>
      <c r="AE39" s="110"/>
    </row>
    <row r="40" spans="1:31" ht="127.5" customHeight="1">
      <c r="A40" s="192" t="s">
        <v>7</v>
      </c>
      <c r="B40" s="128" t="s">
        <v>395</v>
      </c>
      <c r="C40" s="192" t="s">
        <v>397</v>
      </c>
      <c r="D40" s="192" t="s">
        <v>278</v>
      </c>
      <c r="E40" s="128" t="s">
        <v>398</v>
      </c>
      <c r="F40" s="192" t="s">
        <v>8</v>
      </c>
      <c r="G40" s="192" t="s">
        <v>54</v>
      </c>
      <c r="H40" s="129" t="s">
        <v>67</v>
      </c>
      <c r="I40" s="129" t="s">
        <v>399</v>
      </c>
      <c r="J40" s="129"/>
      <c r="K40" s="129"/>
      <c r="L40" s="134"/>
      <c r="M40" s="134"/>
      <c r="N40" s="134"/>
      <c r="O40" s="134"/>
      <c r="P40" s="134"/>
      <c r="Q40" s="134"/>
      <c r="R40" s="134"/>
      <c r="S40" s="134"/>
      <c r="T40" s="168"/>
      <c r="U40" s="168"/>
      <c r="V40" s="168"/>
      <c r="W40" s="168"/>
      <c r="X40" s="134"/>
      <c r="Y40" s="134"/>
      <c r="Z40" s="134"/>
      <c r="AA40" s="134">
        <v>300000</v>
      </c>
      <c r="AB40" s="132" t="s">
        <v>396</v>
      </c>
      <c r="AC40" s="169"/>
      <c r="AD40" s="170"/>
      <c r="AE40" s="110"/>
    </row>
    <row r="41" spans="1:31" ht="69.75" customHeight="1">
      <c r="A41" s="192" t="s">
        <v>54</v>
      </c>
      <c r="B41" s="135" t="s">
        <v>294</v>
      </c>
      <c r="C41" s="128" t="s">
        <v>283</v>
      </c>
      <c r="D41" s="192" t="s">
        <v>278</v>
      </c>
      <c r="E41" s="129" t="s">
        <v>258</v>
      </c>
      <c r="F41" s="129" t="s">
        <v>54</v>
      </c>
      <c r="G41" s="129" t="s">
        <v>51</v>
      </c>
      <c r="H41" s="129" t="s">
        <v>66</v>
      </c>
      <c r="I41" s="129" t="s">
        <v>66</v>
      </c>
      <c r="J41" s="129" t="s">
        <v>307</v>
      </c>
      <c r="K41" s="129"/>
      <c r="L41" s="134">
        <f t="shared" si="0"/>
        <v>6000</v>
      </c>
      <c r="M41" s="134"/>
      <c r="N41" s="134"/>
      <c r="O41" s="134"/>
      <c r="P41" s="134"/>
      <c r="Q41" s="134"/>
      <c r="R41" s="134"/>
      <c r="S41" s="134">
        <f t="shared" si="2"/>
        <v>750</v>
      </c>
      <c r="T41" s="168"/>
      <c r="U41" s="134"/>
      <c r="V41" s="134"/>
      <c r="W41" s="128"/>
      <c r="X41" s="134">
        <f t="shared" si="1"/>
        <v>6750</v>
      </c>
      <c r="Y41" s="134">
        <f t="shared" si="3"/>
        <v>0</v>
      </c>
      <c r="Z41" s="134">
        <f t="shared" si="4"/>
        <v>6750</v>
      </c>
      <c r="AA41" s="134">
        <v>6700</v>
      </c>
      <c r="AB41" s="129" t="s">
        <v>345</v>
      </c>
      <c r="AC41" s="192"/>
      <c r="AD41" s="170"/>
    </row>
    <row r="42" spans="1:31" ht="25.5" customHeight="1">
      <c r="A42" s="125" t="s">
        <v>4</v>
      </c>
      <c r="B42" s="126" t="s">
        <v>137</v>
      </c>
      <c r="C42" s="126"/>
      <c r="D42" s="126"/>
      <c r="E42" s="126"/>
      <c r="F42" s="126"/>
      <c r="G42" s="126"/>
      <c r="H42" s="126"/>
      <c r="I42" s="126"/>
      <c r="J42" s="126"/>
      <c r="K42" s="126"/>
      <c r="L42" s="126"/>
      <c r="M42" s="126"/>
      <c r="N42" s="126"/>
      <c r="O42" s="126"/>
      <c r="P42" s="126"/>
      <c r="Q42" s="126"/>
      <c r="R42" s="126"/>
      <c r="S42" s="126"/>
      <c r="T42" s="126"/>
      <c r="U42" s="126"/>
      <c r="V42" s="126"/>
      <c r="W42" s="126"/>
      <c r="X42" s="126"/>
      <c r="Y42" s="126"/>
      <c r="Z42" s="171">
        <f>SUM(X42:Y42)</f>
        <v>0</v>
      </c>
      <c r="AA42" s="191">
        <f>SUM(AA43:AA46)</f>
        <v>48000</v>
      </c>
      <c r="AB42" s="126"/>
      <c r="AC42" s="126"/>
      <c r="AD42" s="112"/>
    </row>
    <row r="43" spans="1:31" ht="59.25" customHeight="1">
      <c r="A43" s="192" t="s">
        <v>51</v>
      </c>
      <c r="B43" s="111" t="s">
        <v>400</v>
      </c>
      <c r="C43" s="192" t="s">
        <v>265</v>
      </c>
      <c r="D43" s="192" t="s">
        <v>278</v>
      </c>
      <c r="E43" s="192" t="s">
        <v>351</v>
      </c>
      <c r="F43" s="136">
        <v>4</v>
      </c>
      <c r="G43" s="136">
        <v>1</v>
      </c>
      <c r="H43" s="136">
        <v>20</v>
      </c>
      <c r="I43" s="136">
        <v>20</v>
      </c>
      <c r="J43" s="136">
        <v>32</v>
      </c>
      <c r="K43" s="136"/>
      <c r="L43" s="136">
        <v>12800</v>
      </c>
      <c r="M43" s="134"/>
      <c r="N43" s="134"/>
      <c r="O43" s="134"/>
      <c r="P43" s="134"/>
      <c r="Q43" s="134"/>
      <c r="R43" s="134"/>
      <c r="S43" s="134">
        <f t="shared" ref="S43:S46" si="5">F43*$S$16*(I43+1)</f>
        <v>840</v>
      </c>
      <c r="T43" s="136"/>
      <c r="U43" s="136"/>
      <c r="V43" s="136"/>
      <c r="W43" s="136"/>
      <c r="X43" s="134">
        <f t="shared" ref="X43:X46" si="6">SUM(L43:S43)</f>
        <v>13640</v>
      </c>
      <c r="Y43" s="134">
        <f t="shared" ref="Y43:Y46" si="7">SUM(T43:W43)</f>
        <v>0</v>
      </c>
      <c r="Z43" s="134">
        <f t="shared" si="4"/>
        <v>13640</v>
      </c>
      <c r="AA43" s="134">
        <v>12800</v>
      </c>
      <c r="AB43" s="136"/>
      <c r="AC43" s="106"/>
      <c r="AD43" s="113" t="s">
        <v>344</v>
      </c>
    </row>
    <row r="44" spans="1:31" ht="66.75" customHeight="1">
      <c r="A44" s="192" t="s">
        <v>50</v>
      </c>
      <c r="B44" s="111" t="s">
        <v>401</v>
      </c>
      <c r="C44" s="106" t="s">
        <v>403</v>
      </c>
      <c r="D44" s="192" t="s">
        <v>278</v>
      </c>
      <c r="E44" s="192" t="s">
        <v>351</v>
      </c>
      <c r="F44" s="136">
        <v>2</v>
      </c>
      <c r="G44" s="136">
        <v>1</v>
      </c>
      <c r="H44" s="136">
        <v>20</v>
      </c>
      <c r="I44" s="137">
        <v>20</v>
      </c>
      <c r="J44" s="136">
        <v>16</v>
      </c>
      <c r="K44" s="137"/>
      <c r="L44" s="137">
        <v>6400</v>
      </c>
      <c r="M44" s="134"/>
      <c r="N44" s="134"/>
      <c r="O44" s="134"/>
      <c r="P44" s="134"/>
      <c r="Q44" s="134"/>
      <c r="R44" s="134"/>
      <c r="S44" s="134">
        <f t="shared" si="5"/>
        <v>420</v>
      </c>
      <c r="T44" s="137"/>
      <c r="U44" s="137"/>
      <c r="V44" s="137"/>
      <c r="W44" s="137"/>
      <c r="X44" s="134">
        <f t="shared" si="6"/>
        <v>6820</v>
      </c>
      <c r="Y44" s="134">
        <f t="shared" si="7"/>
        <v>0</v>
      </c>
      <c r="Z44" s="134">
        <f t="shared" si="4"/>
        <v>6820</v>
      </c>
      <c r="AA44" s="134">
        <v>6400</v>
      </c>
      <c r="AB44" s="137"/>
      <c r="AC44" s="111"/>
      <c r="AD44" s="113" t="s">
        <v>343</v>
      </c>
    </row>
    <row r="45" spans="1:31" ht="96" customHeight="1">
      <c r="A45" s="192" t="s">
        <v>8</v>
      </c>
      <c r="B45" s="138" t="s">
        <v>318</v>
      </c>
      <c r="C45" s="192" t="s">
        <v>265</v>
      </c>
      <c r="D45" s="192" t="s">
        <v>278</v>
      </c>
      <c r="E45" s="192" t="s">
        <v>366</v>
      </c>
      <c r="F45" s="136">
        <v>9</v>
      </c>
      <c r="G45" s="136">
        <v>1</v>
      </c>
      <c r="H45" s="136">
        <v>20</v>
      </c>
      <c r="I45" s="137">
        <v>20</v>
      </c>
      <c r="J45" s="136">
        <v>72</v>
      </c>
      <c r="K45" s="137"/>
      <c r="L45" s="137">
        <v>21600</v>
      </c>
      <c r="M45" s="134"/>
      <c r="N45" s="134"/>
      <c r="O45" s="134"/>
      <c r="P45" s="134"/>
      <c r="Q45" s="134"/>
      <c r="R45" s="134"/>
      <c r="S45" s="134">
        <f t="shared" si="5"/>
        <v>1890</v>
      </c>
      <c r="T45" s="137"/>
      <c r="U45" s="137"/>
      <c r="V45" s="137"/>
      <c r="W45" s="137"/>
      <c r="X45" s="134">
        <f t="shared" si="6"/>
        <v>23490</v>
      </c>
      <c r="Y45" s="134">
        <f t="shared" si="7"/>
        <v>0</v>
      </c>
      <c r="Z45" s="134">
        <f t="shared" si="4"/>
        <v>23490</v>
      </c>
      <c r="AA45" s="134">
        <v>21600</v>
      </c>
      <c r="AB45" s="137"/>
      <c r="AC45" s="111"/>
      <c r="AD45" s="111" t="s">
        <v>342</v>
      </c>
    </row>
    <row r="46" spans="1:31" ht="62.25" customHeight="1">
      <c r="A46" s="192" t="s">
        <v>7</v>
      </c>
      <c r="B46" s="111" t="s">
        <v>402</v>
      </c>
      <c r="C46" s="106" t="s">
        <v>367</v>
      </c>
      <c r="D46" s="192" t="s">
        <v>278</v>
      </c>
      <c r="E46" s="192" t="s">
        <v>271</v>
      </c>
      <c r="F46" s="136">
        <v>3</v>
      </c>
      <c r="G46" s="136">
        <v>1</v>
      </c>
      <c r="H46" s="136">
        <v>20</v>
      </c>
      <c r="I46" s="137">
        <v>20</v>
      </c>
      <c r="J46" s="137">
        <v>24</v>
      </c>
      <c r="K46" s="137"/>
      <c r="L46" s="137">
        <v>7200</v>
      </c>
      <c r="M46" s="134"/>
      <c r="N46" s="134"/>
      <c r="O46" s="134"/>
      <c r="P46" s="134"/>
      <c r="Q46" s="134"/>
      <c r="R46" s="134"/>
      <c r="S46" s="134">
        <f t="shared" si="5"/>
        <v>630</v>
      </c>
      <c r="T46" s="137"/>
      <c r="U46" s="137"/>
      <c r="V46" s="137"/>
      <c r="W46" s="137"/>
      <c r="X46" s="134">
        <f t="shared" si="6"/>
        <v>7830</v>
      </c>
      <c r="Y46" s="134">
        <f t="shared" si="7"/>
        <v>0</v>
      </c>
      <c r="Z46" s="134">
        <f t="shared" si="4"/>
        <v>7830</v>
      </c>
      <c r="AA46" s="134">
        <v>7200</v>
      </c>
      <c r="AB46" s="137"/>
      <c r="AC46" s="111"/>
      <c r="AD46" s="111" t="s">
        <v>296</v>
      </c>
    </row>
    <row r="47" spans="1:31" ht="63">
      <c r="A47" s="139" t="s">
        <v>57</v>
      </c>
      <c r="B47" s="140" t="s">
        <v>279</v>
      </c>
      <c r="C47" s="172"/>
      <c r="D47" s="173"/>
      <c r="E47" s="173"/>
      <c r="F47" s="173"/>
      <c r="G47" s="173"/>
      <c r="H47" s="173"/>
      <c r="I47" s="173"/>
      <c r="J47" s="173"/>
      <c r="K47" s="173"/>
      <c r="L47" s="174"/>
      <c r="M47" s="174"/>
      <c r="N47" s="174"/>
      <c r="O47" s="174"/>
      <c r="P47" s="174"/>
      <c r="Q47" s="174"/>
      <c r="R47" s="174"/>
      <c r="S47" s="174"/>
      <c r="T47" s="174"/>
      <c r="U47" s="174"/>
      <c r="V47" s="174"/>
      <c r="W47" s="174"/>
      <c r="X47" s="174"/>
      <c r="Y47" s="174"/>
      <c r="Z47" s="174"/>
      <c r="AA47" s="174"/>
      <c r="AB47" s="173"/>
      <c r="AC47" s="175"/>
      <c r="AD47" s="112"/>
    </row>
    <row r="48" spans="1:31" ht="39" customHeight="1">
      <c r="A48" s="136">
        <v>1</v>
      </c>
      <c r="B48" s="130" t="s">
        <v>325</v>
      </c>
      <c r="C48" s="128" t="s">
        <v>319</v>
      </c>
      <c r="D48" s="192"/>
      <c r="E48" s="192" t="s">
        <v>284</v>
      </c>
      <c r="F48" s="192"/>
      <c r="G48" s="192"/>
      <c r="H48" s="192"/>
      <c r="I48" s="192"/>
      <c r="J48" s="192"/>
      <c r="K48" s="192"/>
      <c r="L48" s="143"/>
      <c r="M48" s="143"/>
      <c r="N48" s="143"/>
      <c r="O48" s="143"/>
      <c r="P48" s="143"/>
      <c r="Q48" s="143"/>
      <c r="R48" s="143"/>
      <c r="S48" s="143"/>
      <c r="T48" s="143"/>
      <c r="U48" s="143"/>
      <c r="V48" s="143"/>
      <c r="W48" s="143"/>
      <c r="X48" s="143"/>
      <c r="Y48" s="143"/>
      <c r="Z48" s="143"/>
      <c r="AA48" s="143"/>
      <c r="AB48" s="192"/>
      <c r="AC48" s="137"/>
      <c r="AD48" s="113" t="s">
        <v>368</v>
      </c>
    </row>
    <row r="49" spans="1:30" ht="47.25">
      <c r="A49" s="136">
        <v>2</v>
      </c>
      <c r="B49" s="130" t="s">
        <v>256</v>
      </c>
      <c r="C49" s="128" t="s">
        <v>291</v>
      </c>
      <c r="D49" s="192"/>
      <c r="E49" s="192" t="s">
        <v>284</v>
      </c>
      <c r="F49" s="192"/>
      <c r="G49" s="128"/>
      <c r="H49" s="192"/>
      <c r="I49" s="192"/>
      <c r="J49" s="192"/>
      <c r="K49" s="192"/>
      <c r="L49" s="143"/>
      <c r="M49" s="143"/>
      <c r="N49" s="143"/>
      <c r="O49" s="143"/>
      <c r="P49" s="143"/>
      <c r="Q49" s="143"/>
      <c r="R49" s="143"/>
      <c r="S49" s="143"/>
      <c r="T49" s="143"/>
      <c r="U49" s="143"/>
      <c r="V49" s="143"/>
      <c r="W49" s="143"/>
      <c r="X49" s="143"/>
      <c r="Y49" s="143"/>
      <c r="Z49" s="143"/>
      <c r="AA49" s="143"/>
      <c r="AB49" s="192"/>
      <c r="AC49" s="169"/>
      <c r="AD49" s="112"/>
    </row>
    <row r="50" spans="1:30" ht="110.25">
      <c r="A50" s="136">
        <v>3</v>
      </c>
      <c r="B50" s="130" t="s">
        <v>328</v>
      </c>
      <c r="C50" s="144" t="s">
        <v>329</v>
      </c>
      <c r="D50" s="192"/>
      <c r="E50" s="192" t="s">
        <v>284</v>
      </c>
      <c r="F50" s="192"/>
      <c r="G50" s="128"/>
      <c r="H50" s="192"/>
      <c r="I50" s="192"/>
      <c r="J50" s="192"/>
      <c r="K50" s="192"/>
      <c r="L50" s="143"/>
      <c r="M50" s="143"/>
      <c r="N50" s="143"/>
      <c r="O50" s="143"/>
      <c r="P50" s="143"/>
      <c r="Q50" s="143"/>
      <c r="R50" s="143"/>
      <c r="S50" s="143"/>
      <c r="T50" s="143"/>
      <c r="U50" s="143"/>
      <c r="V50" s="143"/>
      <c r="W50" s="143"/>
      <c r="X50" s="143"/>
      <c r="Y50" s="143"/>
      <c r="Z50" s="143"/>
      <c r="AA50" s="143"/>
      <c r="AB50" s="192"/>
      <c r="AC50" s="169"/>
      <c r="AD50" s="112"/>
    </row>
    <row r="51" spans="1:30" ht="44.25" customHeight="1">
      <c r="A51" s="136">
        <v>4</v>
      </c>
      <c r="B51" s="130" t="s">
        <v>326</v>
      </c>
      <c r="C51" s="141" t="s">
        <v>352</v>
      </c>
      <c r="D51" s="192"/>
      <c r="E51" s="192" t="s">
        <v>284</v>
      </c>
      <c r="F51" s="192"/>
      <c r="G51" s="192"/>
      <c r="H51" s="192"/>
      <c r="I51" s="192"/>
      <c r="J51" s="192"/>
      <c r="K51" s="192"/>
      <c r="L51" s="143"/>
      <c r="M51" s="143"/>
      <c r="N51" s="143"/>
      <c r="O51" s="143"/>
      <c r="P51" s="143"/>
      <c r="Q51" s="143"/>
      <c r="R51" s="143"/>
      <c r="S51" s="143"/>
      <c r="T51" s="143"/>
      <c r="U51" s="143"/>
      <c r="V51" s="143"/>
      <c r="W51" s="143"/>
      <c r="X51" s="143"/>
      <c r="Y51" s="143"/>
      <c r="Z51" s="143"/>
      <c r="AA51" s="143"/>
      <c r="AB51" s="192"/>
      <c r="AC51" s="169"/>
      <c r="AD51" s="176" t="s">
        <v>327</v>
      </c>
    </row>
    <row r="52" spans="1:30" ht="91.5" customHeight="1">
      <c r="A52" s="136">
        <v>5</v>
      </c>
      <c r="B52" s="130" t="s">
        <v>174</v>
      </c>
      <c r="C52" s="142" t="s">
        <v>299</v>
      </c>
      <c r="D52" s="192"/>
      <c r="E52" s="192" t="s">
        <v>284</v>
      </c>
      <c r="F52" s="192"/>
      <c r="G52" s="128"/>
      <c r="H52" s="192"/>
      <c r="I52" s="192" t="s">
        <v>292</v>
      </c>
      <c r="J52" s="192"/>
      <c r="K52" s="192"/>
      <c r="L52" s="143"/>
      <c r="M52" s="143"/>
      <c r="N52" s="143"/>
      <c r="O52" s="143"/>
      <c r="P52" s="143"/>
      <c r="Q52" s="143"/>
      <c r="R52" s="143"/>
      <c r="S52" s="143"/>
      <c r="T52" s="143"/>
      <c r="U52" s="143"/>
      <c r="V52" s="143"/>
      <c r="W52" s="143"/>
      <c r="X52" s="143"/>
      <c r="Y52" s="143"/>
      <c r="Z52" s="143"/>
      <c r="AA52" s="143"/>
      <c r="AB52" s="192"/>
      <c r="AC52" s="138" t="s">
        <v>341</v>
      </c>
      <c r="AD52" s="177" t="s">
        <v>300</v>
      </c>
    </row>
    <row r="53" spans="1:30" ht="31.5">
      <c r="A53" s="136">
        <v>6</v>
      </c>
      <c r="B53" s="144" t="s">
        <v>338</v>
      </c>
      <c r="C53" s="142" t="s">
        <v>405</v>
      </c>
      <c r="D53" s="157"/>
      <c r="E53" s="192" t="s">
        <v>284</v>
      </c>
      <c r="F53" s="192"/>
      <c r="G53" s="128"/>
      <c r="H53" s="192"/>
      <c r="I53" s="192"/>
      <c r="J53" s="192"/>
      <c r="K53" s="192"/>
      <c r="L53" s="143"/>
      <c r="M53" s="143"/>
      <c r="N53" s="143"/>
      <c r="O53" s="143"/>
      <c r="P53" s="143"/>
      <c r="Q53" s="143"/>
      <c r="R53" s="143"/>
      <c r="S53" s="143"/>
      <c r="T53" s="143"/>
      <c r="U53" s="143"/>
      <c r="V53" s="143"/>
      <c r="W53" s="143"/>
      <c r="X53" s="143"/>
      <c r="Y53" s="143"/>
      <c r="Z53" s="143"/>
      <c r="AA53" s="143"/>
      <c r="AB53" s="192"/>
      <c r="AC53" s="106"/>
      <c r="AD53" s="113" t="s">
        <v>297</v>
      </c>
    </row>
    <row r="54" spans="1:30" ht="68.25" customHeight="1">
      <c r="A54" s="136">
        <v>7</v>
      </c>
      <c r="B54" s="241" t="s">
        <v>348</v>
      </c>
      <c r="C54" s="192" t="s">
        <v>353</v>
      </c>
      <c r="D54" s="157"/>
      <c r="E54" s="192" t="s">
        <v>284</v>
      </c>
      <c r="F54" s="192"/>
      <c r="G54" s="128"/>
      <c r="H54" s="192"/>
      <c r="I54" s="192"/>
      <c r="J54" s="192"/>
      <c r="K54" s="192"/>
      <c r="L54" s="143"/>
      <c r="M54" s="143"/>
      <c r="N54" s="143"/>
      <c r="O54" s="143"/>
      <c r="P54" s="143"/>
      <c r="Q54" s="143"/>
      <c r="R54" s="143"/>
      <c r="S54" s="143"/>
      <c r="T54" s="143"/>
      <c r="U54" s="143"/>
      <c r="V54" s="143"/>
      <c r="W54" s="143"/>
      <c r="X54" s="143"/>
      <c r="Y54" s="143"/>
      <c r="Z54" s="143"/>
      <c r="AA54" s="143"/>
      <c r="AB54" s="192"/>
      <c r="AC54" s="106"/>
      <c r="AD54" s="112"/>
    </row>
    <row r="55" spans="1:30" ht="123.75" customHeight="1">
      <c r="A55" s="136">
        <v>8</v>
      </c>
      <c r="B55" s="111" t="s">
        <v>349</v>
      </c>
      <c r="C55" s="192" t="s">
        <v>354</v>
      </c>
      <c r="D55" s="157"/>
      <c r="E55" s="192" t="s">
        <v>284</v>
      </c>
      <c r="F55" s="192"/>
      <c r="G55" s="128"/>
      <c r="H55" s="192"/>
      <c r="I55" s="192"/>
      <c r="J55" s="192"/>
      <c r="K55" s="192"/>
      <c r="L55" s="143"/>
      <c r="M55" s="143"/>
      <c r="N55" s="143"/>
      <c r="O55" s="143"/>
      <c r="P55" s="143"/>
      <c r="Q55" s="143"/>
      <c r="R55" s="143"/>
      <c r="S55" s="143"/>
      <c r="T55" s="143"/>
      <c r="U55" s="143"/>
      <c r="V55" s="143"/>
      <c r="W55" s="143"/>
      <c r="X55" s="143"/>
      <c r="Y55" s="143"/>
      <c r="Z55" s="143"/>
      <c r="AA55" s="143"/>
      <c r="AB55" s="192"/>
      <c r="AC55" s="106"/>
      <c r="AD55" s="112"/>
    </row>
    <row r="56" spans="1:30" ht="47.25">
      <c r="A56" s="136">
        <v>9</v>
      </c>
      <c r="B56" s="137" t="s">
        <v>336</v>
      </c>
      <c r="C56" s="144" t="s">
        <v>337</v>
      </c>
      <c r="D56" s="157"/>
      <c r="E56" s="192" t="s">
        <v>284</v>
      </c>
      <c r="F56" s="192"/>
      <c r="G56" s="128"/>
      <c r="H56" s="192"/>
      <c r="I56" s="192"/>
      <c r="J56" s="192"/>
      <c r="K56" s="192"/>
      <c r="L56" s="143"/>
      <c r="M56" s="143"/>
      <c r="N56" s="143"/>
      <c r="O56" s="143"/>
      <c r="P56" s="143"/>
      <c r="Q56" s="143"/>
      <c r="R56" s="143"/>
      <c r="S56" s="143"/>
      <c r="T56" s="143"/>
      <c r="U56" s="143"/>
      <c r="V56" s="143"/>
      <c r="W56" s="143"/>
      <c r="X56" s="143"/>
      <c r="Y56" s="143"/>
      <c r="Z56" s="143"/>
      <c r="AA56" s="143"/>
      <c r="AB56" s="192"/>
      <c r="AC56" s="106"/>
      <c r="AD56" s="112" t="s">
        <v>406</v>
      </c>
    </row>
    <row r="57" spans="1:30" ht="66.75" customHeight="1">
      <c r="A57" s="136">
        <v>10</v>
      </c>
      <c r="B57" s="137" t="s">
        <v>330</v>
      </c>
      <c r="C57" s="157" t="s">
        <v>331</v>
      </c>
      <c r="D57" s="157"/>
      <c r="E57" s="192" t="s">
        <v>284</v>
      </c>
      <c r="F57" s="192"/>
      <c r="G57" s="128"/>
      <c r="H57" s="192"/>
      <c r="I57" s="192"/>
      <c r="J57" s="192"/>
      <c r="K57" s="192"/>
      <c r="L57" s="143"/>
      <c r="M57" s="143"/>
      <c r="N57" s="143"/>
      <c r="O57" s="143"/>
      <c r="P57" s="143"/>
      <c r="Q57" s="143"/>
      <c r="R57" s="143"/>
      <c r="S57" s="143"/>
      <c r="T57" s="143"/>
      <c r="U57" s="143"/>
      <c r="V57" s="143"/>
      <c r="W57" s="143"/>
      <c r="X57" s="143"/>
      <c r="Y57" s="143"/>
      <c r="Z57" s="143"/>
      <c r="AA57" s="143"/>
      <c r="AB57" s="192"/>
      <c r="AC57" s="106"/>
      <c r="AD57" s="112"/>
    </row>
    <row r="58" spans="1:30" ht="66.75" customHeight="1">
      <c r="A58" s="136">
        <v>11</v>
      </c>
      <c r="B58" s="179" t="s">
        <v>275</v>
      </c>
      <c r="C58" s="157" t="s">
        <v>331</v>
      </c>
      <c r="D58" s="157"/>
      <c r="E58" s="192" t="s">
        <v>284</v>
      </c>
      <c r="F58" s="192"/>
      <c r="G58" s="128"/>
      <c r="H58" s="192"/>
      <c r="I58" s="192"/>
      <c r="J58" s="192"/>
      <c r="K58" s="192"/>
      <c r="L58" s="143"/>
      <c r="M58" s="143"/>
      <c r="N58" s="143"/>
      <c r="O58" s="143"/>
      <c r="P58" s="143"/>
      <c r="Q58" s="143"/>
      <c r="R58" s="143"/>
      <c r="S58" s="143"/>
      <c r="T58" s="143"/>
      <c r="U58" s="143"/>
      <c r="V58" s="143"/>
      <c r="W58" s="143"/>
      <c r="X58" s="143"/>
      <c r="Y58" s="143"/>
      <c r="Z58" s="143"/>
      <c r="AA58" s="143"/>
      <c r="AB58" s="192"/>
      <c r="AC58" s="106"/>
      <c r="AD58" s="112"/>
    </row>
    <row r="59" spans="1:30" ht="75.75" customHeight="1">
      <c r="A59" s="136">
        <v>12</v>
      </c>
      <c r="B59" s="179" t="s">
        <v>333</v>
      </c>
      <c r="C59" s="157" t="s">
        <v>332</v>
      </c>
      <c r="D59" s="157"/>
      <c r="E59" s="192" t="s">
        <v>284</v>
      </c>
      <c r="F59" s="192"/>
      <c r="G59" s="128"/>
      <c r="H59" s="192"/>
      <c r="I59" s="192"/>
      <c r="J59" s="192"/>
      <c r="K59" s="192"/>
      <c r="L59" s="143"/>
      <c r="M59" s="143"/>
      <c r="N59" s="143"/>
      <c r="O59" s="143"/>
      <c r="P59" s="143"/>
      <c r="Q59" s="143"/>
      <c r="R59" s="143"/>
      <c r="S59" s="143"/>
      <c r="T59" s="143"/>
      <c r="U59" s="143"/>
      <c r="V59" s="143"/>
      <c r="W59" s="143"/>
      <c r="X59" s="143"/>
      <c r="Y59" s="143"/>
      <c r="Z59" s="143"/>
      <c r="AA59" s="143"/>
      <c r="AB59" s="192"/>
      <c r="AC59" s="106"/>
      <c r="AD59" s="112"/>
    </row>
    <row r="60" spans="1:30" ht="51.75" customHeight="1">
      <c r="A60" s="136">
        <v>13</v>
      </c>
      <c r="B60" s="179" t="s">
        <v>370</v>
      </c>
      <c r="C60" s="157" t="s">
        <v>335</v>
      </c>
      <c r="D60" s="157"/>
      <c r="E60" s="192" t="s">
        <v>284</v>
      </c>
      <c r="F60" s="192"/>
      <c r="G60" s="128"/>
      <c r="H60" s="192"/>
      <c r="I60" s="192"/>
      <c r="J60" s="192"/>
      <c r="K60" s="192"/>
      <c r="L60" s="143"/>
      <c r="M60" s="143"/>
      <c r="N60" s="143"/>
      <c r="O60" s="143"/>
      <c r="P60" s="143"/>
      <c r="Q60" s="143"/>
      <c r="R60" s="143"/>
      <c r="S60" s="143"/>
      <c r="T60" s="143"/>
      <c r="U60" s="143"/>
      <c r="V60" s="143"/>
      <c r="W60" s="143"/>
      <c r="X60" s="143"/>
      <c r="Y60" s="143"/>
      <c r="Z60" s="143"/>
      <c r="AA60" s="143"/>
      <c r="AB60" s="192"/>
      <c r="AC60" s="106"/>
      <c r="AD60" s="112"/>
    </row>
    <row r="61" spans="1:30" ht="168" customHeight="1">
      <c r="A61" s="136">
        <v>14</v>
      </c>
      <c r="B61" s="130" t="s">
        <v>324</v>
      </c>
      <c r="C61" s="157" t="s">
        <v>274</v>
      </c>
      <c r="D61" s="157"/>
      <c r="E61" s="192" t="s">
        <v>284</v>
      </c>
      <c r="F61" s="192" t="s">
        <v>290</v>
      </c>
      <c r="G61" s="128"/>
      <c r="H61" s="192"/>
      <c r="I61" s="192"/>
      <c r="J61" s="192"/>
      <c r="K61" s="192"/>
      <c r="L61" s="143"/>
      <c r="M61" s="143"/>
      <c r="N61" s="143"/>
      <c r="O61" s="143"/>
      <c r="P61" s="143"/>
      <c r="Q61" s="143"/>
      <c r="R61" s="143"/>
      <c r="S61" s="143"/>
      <c r="T61" s="143"/>
      <c r="U61" s="143"/>
      <c r="V61" s="143"/>
      <c r="W61" s="143"/>
      <c r="X61" s="143"/>
      <c r="Y61" s="143"/>
      <c r="Z61" s="143"/>
      <c r="AA61" s="143"/>
      <c r="AB61" s="192"/>
      <c r="AC61" s="106"/>
      <c r="AD61" s="112"/>
    </row>
    <row r="62" spans="1:30" ht="64.5" customHeight="1">
      <c r="A62" s="136">
        <v>15</v>
      </c>
      <c r="B62" s="130" t="s">
        <v>321</v>
      </c>
      <c r="C62" s="157" t="s">
        <v>355</v>
      </c>
      <c r="D62" s="157"/>
      <c r="E62" s="192" t="s">
        <v>284</v>
      </c>
      <c r="F62" s="192"/>
      <c r="G62" s="128"/>
      <c r="H62" s="192"/>
      <c r="I62" s="192"/>
      <c r="J62" s="192"/>
      <c r="K62" s="192"/>
      <c r="L62" s="143"/>
      <c r="M62" s="143"/>
      <c r="N62" s="143"/>
      <c r="O62" s="143"/>
      <c r="P62" s="143"/>
      <c r="Q62" s="143"/>
      <c r="R62" s="143"/>
      <c r="S62" s="143"/>
      <c r="T62" s="143"/>
      <c r="U62" s="143"/>
      <c r="V62" s="143"/>
      <c r="W62" s="143"/>
      <c r="X62" s="143"/>
      <c r="Y62" s="143"/>
      <c r="Z62" s="143"/>
      <c r="AA62" s="143"/>
      <c r="AB62" s="192"/>
      <c r="AC62" s="106"/>
      <c r="AD62" s="112"/>
    </row>
    <row r="63" spans="1:30" ht="57.75" customHeight="1">
      <c r="A63" s="136">
        <v>16</v>
      </c>
      <c r="B63" s="180" t="s">
        <v>322</v>
      </c>
      <c r="C63" s="157" t="s">
        <v>356</v>
      </c>
      <c r="D63" s="157"/>
      <c r="E63" s="192" t="s">
        <v>284</v>
      </c>
      <c r="F63" s="192"/>
      <c r="G63" s="128"/>
      <c r="H63" s="192"/>
      <c r="I63" s="192"/>
      <c r="J63" s="192"/>
      <c r="K63" s="192"/>
      <c r="L63" s="143"/>
      <c r="M63" s="143"/>
      <c r="N63" s="143"/>
      <c r="O63" s="143"/>
      <c r="P63" s="143"/>
      <c r="Q63" s="143"/>
      <c r="R63" s="143"/>
      <c r="S63" s="143"/>
      <c r="T63" s="143"/>
      <c r="U63" s="143"/>
      <c r="V63" s="143"/>
      <c r="W63" s="143"/>
      <c r="X63" s="143"/>
      <c r="Y63" s="143"/>
      <c r="Z63" s="143"/>
      <c r="AA63" s="143"/>
      <c r="AB63" s="128"/>
      <c r="AC63" s="158"/>
      <c r="AD63" s="112"/>
    </row>
    <row r="64" spans="1:30" ht="37.5" customHeight="1">
      <c r="A64" s="136">
        <v>17</v>
      </c>
      <c r="B64" s="130" t="s">
        <v>339</v>
      </c>
      <c r="C64" s="157" t="s">
        <v>357</v>
      </c>
      <c r="D64" s="157"/>
      <c r="E64" s="192" t="s">
        <v>284</v>
      </c>
      <c r="F64" s="192"/>
      <c r="G64" s="128"/>
      <c r="H64" s="192"/>
      <c r="I64" s="192"/>
      <c r="J64" s="192"/>
      <c r="K64" s="192"/>
      <c r="L64" s="143"/>
      <c r="M64" s="143"/>
      <c r="N64" s="143"/>
      <c r="O64" s="143"/>
      <c r="P64" s="143"/>
      <c r="Q64" s="143"/>
      <c r="R64" s="143"/>
      <c r="S64" s="143"/>
      <c r="T64" s="143"/>
      <c r="U64" s="143"/>
      <c r="V64" s="143"/>
      <c r="W64" s="143"/>
      <c r="X64" s="143"/>
      <c r="Y64" s="143"/>
      <c r="Z64" s="143"/>
      <c r="AA64" s="143"/>
      <c r="AB64" s="128"/>
      <c r="AC64" s="158"/>
      <c r="AD64" s="112"/>
    </row>
    <row r="65" spans="1:30" ht="47.25">
      <c r="A65" s="136">
        <v>18</v>
      </c>
      <c r="B65" s="130" t="s">
        <v>323</v>
      </c>
      <c r="C65" s="157" t="s">
        <v>369</v>
      </c>
      <c r="D65" s="157"/>
      <c r="E65" s="192" t="s">
        <v>284</v>
      </c>
      <c r="F65" s="192"/>
      <c r="G65" s="128"/>
      <c r="H65" s="192"/>
      <c r="I65" s="192"/>
      <c r="J65" s="192"/>
      <c r="K65" s="192"/>
      <c r="L65" s="143"/>
      <c r="M65" s="143"/>
      <c r="N65" s="143"/>
      <c r="O65" s="143"/>
      <c r="P65" s="143"/>
      <c r="Q65" s="143"/>
      <c r="R65" s="143"/>
      <c r="S65" s="143"/>
      <c r="T65" s="143"/>
      <c r="U65" s="143"/>
      <c r="V65" s="143"/>
      <c r="W65" s="143"/>
      <c r="X65" s="143"/>
      <c r="Y65" s="143"/>
      <c r="Z65" s="143"/>
      <c r="AA65" s="143"/>
      <c r="AB65" s="128"/>
      <c r="AC65" s="158"/>
      <c r="AD65" s="112"/>
    </row>
    <row r="66" spans="1:30" ht="102" customHeight="1">
      <c r="A66" s="136">
        <v>19</v>
      </c>
      <c r="B66" s="130" t="s">
        <v>407</v>
      </c>
      <c r="C66" s="192" t="s">
        <v>358</v>
      </c>
      <c r="D66" s="157"/>
      <c r="E66" s="192" t="s">
        <v>284</v>
      </c>
      <c r="F66" s="192"/>
      <c r="G66" s="128"/>
      <c r="H66" s="192"/>
      <c r="I66" s="192"/>
      <c r="J66" s="192"/>
      <c r="K66" s="192"/>
      <c r="L66" s="143"/>
      <c r="M66" s="143"/>
      <c r="N66" s="143"/>
      <c r="O66" s="143"/>
      <c r="P66" s="143"/>
      <c r="Q66" s="143"/>
      <c r="R66" s="143"/>
      <c r="S66" s="143"/>
      <c r="T66" s="143"/>
      <c r="U66" s="143"/>
      <c r="V66" s="143"/>
      <c r="W66" s="143"/>
      <c r="X66" s="143"/>
      <c r="Y66" s="143"/>
      <c r="Z66" s="143"/>
      <c r="AA66" s="143"/>
      <c r="AB66" s="128"/>
      <c r="AC66" s="178"/>
      <c r="AD66" s="176" t="s">
        <v>340</v>
      </c>
    </row>
    <row r="67" spans="1:30" ht="56.25" customHeight="1">
      <c r="A67" s="136">
        <v>20</v>
      </c>
      <c r="B67" s="137" t="s">
        <v>334</v>
      </c>
      <c r="C67" s="192" t="s">
        <v>358</v>
      </c>
      <c r="D67" s="169"/>
      <c r="E67" s="192" t="s">
        <v>284</v>
      </c>
      <c r="F67" s="169"/>
      <c r="G67" s="169"/>
      <c r="H67" s="169"/>
      <c r="I67" s="169"/>
      <c r="J67" s="169"/>
      <c r="K67" s="169"/>
      <c r="L67" s="169"/>
      <c r="M67" s="169"/>
      <c r="N67" s="169"/>
      <c r="O67" s="169"/>
      <c r="P67" s="169"/>
      <c r="Q67" s="169"/>
      <c r="R67" s="169"/>
      <c r="S67" s="169"/>
      <c r="T67" s="169"/>
      <c r="U67" s="169"/>
      <c r="V67" s="169"/>
      <c r="W67" s="169"/>
      <c r="X67" s="169"/>
      <c r="Y67" s="169"/>
      <c r="Z67" s="169"/>
      <c r="AA67" s="169"/>
      <c r="AB67" s="169"/>
      <c r="AC67" s="158"/>
      <c r="AD67" s="112"/>
    </row>
    <row r="68" spans="1:30" ht="117" customHeight="1">
      <c r="A68" s="136">
        <v>21</v>
      </c>
      <c r="B68" s="130" t="s">
        <v>364</v>
      </c>
      <c r="C68" s="192" t="s">
        <v>265</v>
      </c>
      <c r="D68" s="192" t="s">
        <v>360</v>
      </c>
      <c r="E68" s="192" t="s">
        <v>360</v>
      </c>
      <c r="F68" s="192" t="s">
        <v>257</v>
      </c>
      <c r="G68" s="192" t="s">
        <v>359</v>
      </c>
      <c r="H68" s="192"/>
      <c r="I68" s="192" t="s">
        <v>7</v>
      </c>
      <c r="J68" s="192"/>
      <c r="K68" s="192"/>
      <c r="L68" s="131"/>
      <c r="M68" s="131"/>
      <c r="N68" s="131"/>
      <c r="O68" s="131"/>
      <c r="P68" s="131"/>
      <c r="Q68" s="131"/>
      <c r="R68" s="131"/>
      <c r="S68" s="131"/>
      <c r="T68" s="131"/>
      <c r="U68" s="131"/>
      <c r="V68" s="131"/>
      <c r="W68" s="131"/>
      <c r="X68" s="143"/>
      <c r="Y68" s="143"/>
      <c r="Z68" s="143"/>
      <c r="AA68" s="143"/>
      <c r="AB68" s="192" t="s">
        <v>359</v>
      </c>
      <c r="AC68" s="130"/>
      <c r="AD68" s="114" t="s">
        <v>295</v>
      </c>
    </row>
    <row r="69" spans="1:30" ht="129.75" customHeight="1">
      <c r="A69" s="136">
        <v>22</v>
      </c>
      <c r="B69" s="130" t="s">
        <v>361</v>
      </c>
      <c r="C69" s="192" t="s">
        <v>362</v>
      </c>
      <c r="D69" s="192" t="s">
        <v>360</v>
      </c>
      <c r="E69" s="192" t="s">
        <v>360</v>
      </c>
      <c r="F69" s="192"/>
      <c r="G69" s="192" t="s">
        <v>359</v>
      </c>
      <c r="H69" s="192"/>
      <c r="I69" s="192" t="s">
        <v>51</v>
      </c>
      <c r="J69" s="192"/>
      <c r="K69" s="192"/>
      <c r="L69" s="131"/>
      <c r="M69" s="131"/>
      <c r="N69" s="131"/>
      <c r="O69" s="131"/>
      <c r="P69" s="131"/>
      <c r="Q69" s="131"/>
      <c r="R69" s="131"/>
      <c r="S69" s="131"/>
      <c r="T69" s="131"/>
      <c r="U69" s="131"/>
      <c r="V69" s="131"/>
      <c r="W69" s="131"/>
      <c r="X69" s="143"/>
      <c r="Y69" s="143"/>
      <c r="Z69" s="143"/>
      <c r="AA69" s="143"/>
      <c r="AB69" s="192" t="s">
        <v>359</v>
      </c>
      <c r="AC69" s="130"/>
      <c r="AD69" s="115"/>
    </row>
    <row r="70" spans="1:30" ht="124.5" customHeight="1">
      <c r="A70" s="136">
        <v>23</v>
      </c>
      <c r="B70" s="130" t="s">
        <v>365</v>
      </c>
      <c r="C70" s="192" t="s">
        <v>265</v>
      </c>
      <c r="D70" s="192" t="s">
        <v>363</v>
      </c>
      <c r="E70" s="192" t="s">
        <v>363</v>
      </c>
      <c r="F70" s="192" t="s">
        <v>84</v>
      </c>
      <c r="G70" s="192" t="s">
        <v>359</v>
      </c>
      <c r="H70" s="192"/>
      <c r="I70" s="192" t="s">
        <v>51</v>
      </c>
      <c r="J70" s="192"/>
      <c r="K70" s="192"/>
      <c r="L70" s="143"/>
      <c r="M70" s="143"/>
      <c r="N70" s="143"/>
      <c r="O70" s="143"/>
      <c r="P70" s="143"/>
      <c r="Q70" s="143"/>
      <c r="R70" s="143"/>
      <c r="S70" s="143"/>
      <c r="T70" s="143"/>
      <c r="U70" s="143"/>
      <c r="V70" s="143"/>
      <c r="W70" s="143"/>
      <c r="X70" s="143"/>
      <c r="Y70" s="143"/>
      <c r="Z70" s="143"/>
      <c r="AA70" s="143"/>
      <c r="AB70" s="192" t="s">
        <v>359</v>
      </c>
      <c r="AC70" s="130"/>
      <c r="AD70" s="115" t="s">
        <v>320</v>
      </c>
    </row>
    <row r="71" spans="1:30" ht="93.75" customHeight="1">
      <c r="A71" s="123" t="s">
        <v>272</v>
      </c>
      <c r="B71" s="145" t="s">
        <v>280</v>
      </c>
      <c r="C71" s="145"/>
      <c r="D71" s="145"/>
      <c r="E71" s="145"/>
      <c r="F71" s="145"/>
      <c r="G71" s="145"/>
      <c r="H71" s="145"/>
      <c r="I71" s="145"/>
      <c r="J71" s="145"/>
      <c r="K71" s="145"/>
      <c r="L71" s="145"/>
      <c r="M71" s="145"/>
      <c r="N71" s="145"/>
      <c r="O71" s="145"/>
      <c r="P71" s="145"/>
      <c r="Q71" s="145"/>
      <c r="R71" s="145"/>
      <c r="S71" s="145"/>
      <c r="T71" s="145"/>
      <c r="U71" s="145"/>
      <c r="V71" s="145"/>
      <c r="W71" s="145"/>
      <c r="X71" s="145"/>
      <c r="Y71" s="145"/>
      <c r="Z71" s="145"/>
      <c r="AA71" s="145"/>
      <c r="AB71" s="145"/>
      <c r="AC71" s="145"/>
      <c r="AD71" s="181"/>
    </row>
    <row r="72" spans="1:30" ht="44.25" customHeight="1">
      <c r="A72" s="125" t="s">
        <v>1</v>
      </c>
      <c r="B72" s="127" t="s">
        <v>281</v>
      </c>
      <c r="C72" s="127"/>
      <c r="D72" s="127"/>
      <c r="E72" s="127"/>
      <c r="F72" s="127"/>
      <c r="G72" s="127"/>
      <c r="H72" s="127"/>
      <c r="I72" s="127"/>
      <c r="J72" s="127"/>
      <c r="K72" s="127"/>
      <c r="L72" s="127"/>
      <c r="M72" s="127"/>
      <c r="N72" s="127"/>
      <c r="O72" s="127"/>
      <c r="P72" s="127"/>
      <c r="Q72" s="127"/>
      <c r="R72" s="127"/>
      <c r="S72" s="127"/>
      <c r="T72" s="127"/>
      <c r="U72" s="127"/>
      <c r="V72" s="127"/>
      <c r="W72" s="127"/>
      <c r="X72" s="127"/>
      <c r="Y72" s="127"/>
      <c r="Z72" s="127"/>
      <c r="AA72" s="127"/>
      <c r="AB72" s="127"/>
      <c r="AC72" s="127"/>
      <c r="AD72" s="181"/>
    </row>
    <row r="73" spans="1:30" ht="88.5" customHeight="1">
      <c r="A73" s="192" t="s">
        <v>51</v>
      </c>
      <c r="B73" s="130" t="s">
        <v>247</v>
      </c>
      <c r="C73" s="192" t="s">
        <v>269</v>
      </c>
      <c r="D73" s="192" t="s">
        <v>145</v>
      </c>
      <c r="E73" s="192"/>
      <c r="F73" s="192" t="s">
        <v>65</v>
      </c>
      <c r="G73" s="133" t="s">
        <v>51</v>
      </c>
      <c r="H73" s="133" t="s">
        <v>54</v>
      </c>
      <c r="I73" s="133" t="s">
        <v>54</v>
      </c>
      <c r="J73" s="133"/>
      <c r="K73" s="133"/>
      <c r="L73" s="133"/>
      <c r="M73" s="133"/>
      <c r="N73" s="133"/>
      <c r="O73" s="133"/>
      <c r="P73" s="133"/>
      <c r="Q73" s="133"/>
      <c r="R73" s="133"/>
      <c r="S73" s="133"/>
      <c r="T73" s="133"/>
      <c r="U73" s="133"/>
      <c r="V73" s="133"/>
      <c r="W73" s="133"/>
      <c r="X73" s="133"/>
      <c r="Y73" s="169"/>
      <c r="Z73" s="169"/>
      <c r="AA73" s="169"/>
      <c r="AB73" s="192" t="s">
        <v>347</v>
      </c>
      <c r="AC73" s="242" t="s">
        <v>346</v>
      </c>
      <c r="AD73" s="182"/>
    </row>
    <row r="74" spans="1:30" ht="63">
      <c r="A74" s="136">
        <v>2</v>
      </c>
      <c r="B74" s="130" t="s">
        <v>382</v>
      </c>
      <c r="C74" s="106" t="s">
        <v>270</v>
      </c>
      <c r="D74" s="192" t="s">
        <v>154</v>
      </c>
      <c r="E74" s="136"/>
      <c r="F74" s="136">
        <v>15</v>
      </c>
      <c r="G74" s="146">
        <v>1</v>
      </c>
      <c r="H74" s="146">
        <v>3</v>
      </c>
      <c r="I74" s="146">
        <v>3</v>
      </c>
      <c r="J74" s="146"/>
      <c r="K74" s="146"/>
      <c r="L74" s="146"/>
      <c r="M74" s="146"/>
      <c r="N74" s="146"/>
      <c r="O74" s="146"/>
      <c r="P74" s="146"/>
      <c r="Q74" s="146"/>
      <c r="R74" s="146"/>
      <c r="S74" s="146"/>
      <c r="T74" s="146"/>
      <c r="U74" s="146"/>
      <c r="V74" s="146"/>
      <c r="W74" s="146"/>
      <c r="X74" s="146"/>
      <c r="Y74" s="169"/>
      <c r="Z74" s="169"/>
      <c r="AA74" s="169"/>
      <c r="AB74" s="192" t="s">
        <v>347</v>
      </c>
      <c r="AC74" s="242" t="s">
        <v>155</v>
      </c>
      <c r="AD74" s="182"/>
    </row>
    <row r="75" spans="1:30" ht="47.25">
      <c r="A75" s="136">
        <v>3</v>
      </c>
      <c r="B75" s="130" t="s">
        <v>387</v>
      </c>
      <c r="C75" s="106" t="s">
        <v>383</v>
      </c>
      <c r="D75" s="192" t="s">
        <v>390</v>
      </c>
      <c r="E75" s="136"/>
      <c r="F75" s="136">
        <v>5</v>
      </c>
      <c r="G75" s="146"/>
      <c r="H75" s="146"/>
      <c r="I75" s="146">
        <v>1</v>
      </c>
      <c r="J75" s="146"/>
      <c r="K75" s="146"/>
      <c r="L75" s="146"/>
      <c r="M75" s="146"/>
      <c r="N75" s="146"/>
      <c r="O75" s="146"/>
      <c r="P75" s="146"/>
      <c r="Q75" s="146"/>
      <c r="R75" s="146"/>
      <c r="S75" s="146"/>
      <c r="T75" s="146"/>
      <c r="U75" s="146"/>
      <c r="V75" s="146"/>
      <c r="W75" s="146"/>
      <c r="X75" s="146"/>
      <c r="Y75" s="169"/>
      <c r="Z75" s="169"/>
      <c r="AA75" s="169"/>
      <c r="AB75" s="192"/>
      <c r="AC75" s="242"/>
      <c r="AD75" s="182"/>
    </row>
    <row r="76" spans="1:30" ht="63">
      <c r="A76" s="136">
        <v>4</v>
      </c>
      <c r="B76" s="130" t="s">
        <v>409</v>
      </c>
      <c r="C76" s="106" t="s">
        <v>384</v>
      </c>
      <c r="D76" s="192" t="s">
        <v>381</v>
      </c>
      <c r="E76" s="136"/>
      <c r="F76" s="136">
        <v>8</v>
      </c>
      <c r="G76" s="146"/>
      <c r="H76" s="146"/>
      <c r="I76" s="146">
        <v>2</v>
      </c>
      <c r="J76" s="146"/>
      <c r="K76" s="146"/>
      <c r="L76" s="146"/>
      <c r="M76" s="146"/>
      <c r="N76" s="146"/>
      <c r="O76" s="146"/>
      <c r="P76" s="146"/>
      <c r="Q76" s="146"/>
      <c r="R76" s="146"/>
      <c r="S76" s="146"/>
      <c r="T76" s="146"/>
      <c r="U76" s="146"/>
      <c r="V76" s="146"/>
      <c r="W76" s="146"/>
      <c r="X76" s="146"/>
      <c r="Y76" s="169"/>
      <c r="Z76" s="169"/>
      <c r="AA76" s="169"/>
      <c r="AB76" s="192"/>
      <c r="AC76" s="242"/>
      <c r="AD76" s="182"/>
    </row>
    <row r="77" spans="1:30" ht="31.5">
      <c r="A77" s="136">
        <v>5</v>
      </c>
      <c r="B77" s="130" t="s">
        <v>410</v>
      </c>
      <c r="C77" s="106" t="s">
        <v>384</v>
      </c>
      <c r="D77" s="192" t="s">
        <v>389</v>
      </c>
      <c r="E77" s="136"/>
      <c r="F77" s="136">
        <v>5</v>
      </c>
      <c r="G77" s="146"/>
      <c r="H77" s="146"/>
      <c r="I77" s="146">
        <v>1</v>
      </c>
      <c r="J77" s="146"/>
      <c r="K77" s="146"/>
      <c r="L77" s="146"/>
      <c r="M77" s="146"/>
      <c r="N77" s="146"/>
      <c r="O77" s="146"/>
      <c r="P77" s="146"/>
      <c r="Q77" s="146"/>
      <c r="R77" s="146"/>
      <c r="S77" s="146"/>
      <c r="T77" s="146"/>
      <c r="U77" s="146"/>
      <c r="V77" s="146"/>
      <c r="W77" s="146"/>
      <c r="X77" s="146"/>
      <c r="Y77" s="169"/>
      <c r="Z77" s="169"/>
      <c r="AA77" s="169"/>
      <c r="AB77" s="192"/>
      <c r="AC77" s="242"/>
      <c r="AD77" s="182"/>
    </row>
    <row r="78" spans="1:30" ht="48" customHeight="1">
      <c r="A78" s="136">
        <v>6</v>
      </c>
      <c r="B78" s="130" t="s">
        <v>379</v>
      </c>
      <c r="C78" s="106" t="s">
        <v>375</v>
      </c>
      <c r="D78" s="192" t="s">
        <v>380</v>
      </c>
      <c r="E78" s="136"/>
      <c r="F78" s="136">
        <v>5</v>
      </c>
      <c r="G78" s="146"/>
      <c r="H78" s="146"/>
      <c r="I78" s="146">
        <v>1</v>
      </c>
      <c r="J78" s="146"/>
      <c r="K78" s="146"/>
      <c r="L78" s="146"/>
      <c r="M78" s="146"/>
      <c r="N78" s="146"/>
      <c r="O78" s="146"/>
      <c r="P78" s="146"/>
      <c r="Q78" s="146"/>
      <c r="R78" s="146"/>
      <c r="S78" s="146"/>
      <c r="T78" s="146"/>
      <c r="U78" s="146"/>
      <c r="V78" s="146"/>
      <c r="W78" s="146"/>
      <c r="X78" s="146"/>
      <c r="Y78" s="169"/>
      <c r="Z78" s="169"/>
      <c r="AA78" s="169"/>
      <c r="AB78" s="192"/>
      <c r="AC78" s="242"/>
      <c r="AD78" s="182"/>
    </row>
    <row r="79" spans="1:30" ht="48" customHeight="1">
      <c r="A79" s="136">
        <v>7</v>
      </c>
      <c r="B79" s="130" t="s">
        <v>385</v>
      </c>
      <c r="C79" s="106" t="s">
        <v>386</v>
      </c>
      <c r="D79" s="192" t="s">
        <v>388</v>
      </c>
      <c r="E79" s="136"/>
      <c r="F79" s="136">
        <v>10</v>
      </c>
      <c r="G79" s="146"/>
      <c r="H79" s="146"/>
      <c r="I79" s="146">
        <v>2</v>
      </c>
      <c r="J79" s="146"/>
      <c r="K79" s="146"/>
      <c r="L79" s="146"/>
      <c r="M79" s="146"/>
      <c r="N79" s="146"/>
      <c r="O79" s="146"/>
      <c r="P79" s="146"/>
      <c r="Q79" s="146"/>
      <c r="R79" s="146"/>
      <c r="S79" s="146"/>
      <c r="T79" s="146"/>
      <c r="U79" s="146"/>
      <c r="V79" s="146"/>
      <c r="W79" s="146"/>
      <c r="X79" s="146"/>
      <c r="Y79" s="169"/>
      <c r="Z79" s="169"/>
      <c r="AA79" s="169"/>
      <c r="AB79" s="192"/>
      <c r="AC79" s="242"/>
      <c r="AD79" s="182"/>
    </row>
    <row r="80" spans="1:30" ht="73.5" customHeight="1">
      <c r="A80" s="136">
        <v>8</v>
      </c>
      <c r="B80" s="111" t="s">
        <v>392</v>
      </c>
      <c r="C80" s="106" t="s">
        <v>386</v>
      </c>
      <c r="D80" s="106" t="s">
        <v>391</v>
      </c>
      <c r="E80" s="136"/>
      <c r="F80" s="136">
        <v>5</v>
      </c>
      <c r="G80" s="146"/>
      <c r="H80" s="146"/>
      <c r="I80" s="146">
        <v>1</v>
      </c>
      <c r="J80" s="146"/>
      <c r="K80" s="146"/>
      <c r="L80" s="146"/>
      <c r="M80" s="146"/>
      <c r="N80" s="146"/>
      <c r="O80" s="146"/>
      <c r="P80" s="146"/>
      <c r="Q80" s="146"/>
      <c r="R80" s="146"/>
      <c r="S80" s="146"/>
      <c r="T80" s="146"/>
      <c r="U80" s="146"/>
      <c r="V80" s="146"/>
      <c r="W80" s="146"/>
      <c r="X80" s="146"/>
      <c r="Y80" s="169"/>
      <c r="Z80" s="169"/>
      <c r="AA80" s="169"/>
      <c r="AB80" s="192"/>
      <c r="AC80" s="242"/>
      <c r="AD80" s="182"/>
    </row>
    <row r="81" spans="1:30" ht="79.5" customHeight="1">
      <c r="A81" s="136">
        <v>9</v>
      </c>
      <c r="B81" s="130" t="s">
        <v>374</v>
      </c>
      <c r="C81" s="106" t="s">
        <v>384</v>
      </c>
      <c r="D81" s="192" t="s">
        <v>411</v>
      </c>
      <c r="E81" s="136"/>
      <c r="F81" s="136"/>
      <c r="G81" s="146"/>
      <c r="H81" s="146"/>
      <c r="I81" s="146"/>
      <c r="J81" s="146"/>
      <c r="K81" s="146"/>
      <c r="L81" s="146"/>
      <c r="M81" s="146"/>
      <c r="N81" s="146"/>
      <c r="O81" s="146"/>
      <c r="P81" s="146"/>
      <c r="Q81" s="146"/>
      <c r="R81" s="146"/>
      <c r="S81" s="146"/>
      <c r="T81" s="146"/>
      <c r="U81" s="146"/>
      <c r="V81" s="146"/>
      <c r="W81" s="146"/>
      <c r="X81" s="146"/>
      <c r="Y81" s="169"/>
      <c r="Z81" s="169"/>
      <c r="AA81" s="169"/>
      <c r="AB81" s="192"/>
      <c r="AC81" s="242"/>
      <c r="AD81" s="182"/>
    </row>
    <row r="82" spans="1:30" ht="79.5" customHeight="1">
      <c r="A82" s="136">
        <v>10</v>
      </c>
      <c r="B82" s="130" t="s">
        <v>393</v>
      </c>
      <c r="C82" s="156" t="s">
        <v>373</v>
      </c>
      <c r="D82" s="182" t="s">
        <v>394</v>
      </c>
      <c r="E82" s="136"/>
      <c r="F82" s="136">
        <v>5</v>
      </c>
      <c r="G82" s="146"/>
      <c r="H82" s="146"/>
      <c r="I82" s="146">
        <v>1</v>
      </c>
      <c r="J82" s="146"/>
      <c r="K82" s="146"/>
      <c r="L82" s="146"/>
      <c r="M82" s="146"/>
      <c r="N82" s="146"/>
      <c r="O82" s="146"/>
      <c r="P82" s="146"/>
      <c r="Q82" s="146"/>
      <c r="R82" s="146"/>
      <c r="S82" s="146"/>
      <c r="T82" s="146"/>
      <c r="U82" s="146"/>
      <c r="V82" s="146"/>
      <c r="W82" s="146"/>
      <c r="X82" s="146"/>
      <c r="Y82" s="169"/>
      <c r="Z82" s="169"/>
      <c r="AA82" s="169"/>
      <c r="AB82" s="192"/>
      <c r="AC82" s="242"/>
      <c r="AD82" s="182"/>
    </row>
    <row r="83" spans="1:30" ht="73.5" customHeight="1">
      <c r="A83" s="136">
        <v>11</v>
      </c>
      <c r="B83" s="130" t="s">
        <v>376</v>
      </c>
      <c r="C83" s="156" t="s">
        <v>373</v>
      </c>
      <c r="D83" s="192" t="s">
        <v>377</v>
      </c>
      <c r="E83" s="136"/>
      <c r="F83" s="136">
        <v>5</v>
      </c>
      <c r="G83" s="146"/>
      <c r="H83" s="146"/>
      <c r="I83" s="146">
        <v>1</v>
      </c>
      <c r="J83" s="146"/>
      <c r="K83" s="146"/>
      <c r="L83" s="146"/>
      <c r="M83" s="146"/>
      <c r="N83" s="146"/>
      <c r="O83" s="146"/>
      <c r="P83" s="146"/>
      <c r="Q83" s="146"/>
      <c r="R83" s="146"/>
      <c r="S83" s="146"/>
      <c r="T83" s="146"/>
      <c r="U83" s="146"/>
      <c r="V83" s="146"/>
      <c r="W83" s="146"/>
      <c r="X83" s="146"/>
      <c r="Y83" s="169"/>
      <c r="Z83" s="169"/>
      <c r="AA83" s="169"/>
      <c r="AB83" s="192"/>
      <c r="AC83" s="242"/>
      <c r="AD83" s="182"/>
    </row>
    <row r="84" spans="1:30" ht="62.25" customHeight="1">
      <c r="A84" s="136">
        <v>12</v>
      </c>
      <c r="B84" s="130" t="s">
        <v>372</v>
      </c>
      <c r="C84" s="156" t="s">
        <v>373</v>
      </c>
      <c r="D84" s="192" t="s">
        <v>378</v>
      </c>
      <c r="E84" s="136"/>
      <c r="F84" s="136">
        <v>5</v>
      </c>
      <c r="G84" s="146"/>
      <c r="H84" s="146"/>
      <c r="I84" s="146">
        <v>1</v>
      </c>
      <c r="J84" s="146"/>
      <c r="K84" s="146"/>
      <c r="L84" s="146"/>
      <c r="M84" s="146"/>
      <c r="N84" s="146"/>
      <c r="O84" s="146"/>
      <c r="P84" s="146"/>
      <c r="Q84" s="146"/>
      <c r="R84" s="146"/>
      <c r="S84" s="146"/>
      <c r="T84" s="146"/>
      <c r="U84" s="146"/>
      <c r="V84" s="146"/>
      <c r="W84" s="146"/>
      <c r="X84" s="146"/>
      <c r="Y84" s="169"/>
      <c r="Z84" s="169"/>
      <c r="AA84" s="169"/>
      <c r="AB84" s="192"/>
      <c r="AC84" s="242"/>
      <c r="AD84" s="182"/>
    </row>
    <row r="85" spans="1:30" ht="55.5" customHeight="1">
      <c r="A85" s="183">
        <v>13</v>
      </c>
      <c r="B85" s="184" t="s">
        <v>371</v>
      </c>
      <c r="C85" s="156" t="s">
        <v>373</v>
      </c>
      <c r="D85" s="182" t="s">
        <v>394</v>
      </c>
      <c r="E85" s="183"/>
      <c r="F85" s="183">
        <v>5</v>
      </c>
      <c r="G85" s="185"/>
      <c r="H85" s="185"/>
      <c r="I85" s="185">
        <v>1</v>
      </c>
      <c r="J85" s="185"/>
      <c r="K85" s="185"/>
      <c r="L85" s="185"/>
      <c r="M85" s="185"/>
      <c r="N85" s="185"/>
      <c r="O85" s="185"/>
      <c r="P85" s="185"/>
      <c r="Q85" s="185"/>
      <c r="R85" s="185"/>
      <c r="S85" s="185"/>
      <c r="T85" s="185"/>
      <c r="U85" s="185"/>
      <c r="V85" s="185"/>
      <c r="W85" s="185"/>
      <c r="X85" s="185"/>
      <c r="Y85" s="112"/>
      <c r="Z85" s="112"/>
      <c r="AA85" s="112"/>
      <c r="AB85" s="182"/>
      <c r="AC85" s="243"/>
      <c r="AD85" s="182"/>
    </row>
    <row r="86" spans="1:30" ht="42.75" customHeight="1">
      <c r="A86" s="186" t="s">
        <v>3</v>
      </c>
      <c r="B86" s="187" t="s">
        <v>161</v>
      </c>
      <c r="C86" s="188"/>
      <c r="D86" s="188"/>
      <c r="E86" s="188"/>
      <c r="F86" s="188"/>
      <c r="G86" s="188"/>
      <c r="H86" s="188"/>
      <c r="I86" s="188"/>
      <c r="J86" s="188"/>
      <c r="K86" s="188"/>
      <c r="L86" s="188"/>
      <c r="M86" s="188"/>
      <c r="N86" s="188"/>
      <c r="O86" s="188"/>
      <c r="P86" s="188"/>
      <c r="Q86" s="188"/>
      <c r="R86" s="188"/>
      <c r="S86" s="188"/>
      <c r="T86" s="188"/>
      <c r="U86" s="188"/>
      <c r="V86" s="188"/>
      <c r="W86" s="188"/>
      <c r="X86" s="188"/>
      <c r="Y86" s="188"/>
      <c r="Z86" s="188"/>
      <c r="AA86" s="188"/>
      <c r="AB86" s="189"/>
      <c r="AC86" s="112"/>
      <c r="AD86" s="189"/>
    </row>
    <row r="87" spans="1:30">
      <c r="A87" s="112"/>
      <c r="B87" s="112"/>
      <c r="C87" s="112"/>
      <c r="D87" s="112"/>
      <c r="E87" s="112"/>
      <c r="F87" s="112"/>
      <c r="G87" s="112"/>
      <c r="H87" s="112"/>
      <c r="I87" s="112"/>
      <c r="J87" s="112"/>
      <c r="K87" s="112"/>
      <c r="L87" s="112"/>
      <c r="M87" s="112"/>
      <c r="N87" s="112"/>
      <c r="O87" s="112"/>
      <c r="P87" s="112"/>
      <c r="Q87" s="112"/>
      <c r="R87" s="112"/>
      <c r="S87" s="112"/>
      <c r="T87" s="112"/>
      <c r="U87" s="112"/>
      <c r="V87" s="112"/>
      <c r="W87" s="112"/>
      <c r="X87" s="112"/>
      <c r="Y87" s="112"/>
      <c r="Z87" s="112"/>
      <c r="AA87" s="112"/>
      <c r="AB87" s="112"/>
      <c r="AC87" s="112"/>
      <c r="AD87" s="112"/>
    </row>
    <row r="88" spans="1:30" ht="31.5">
      <c r="A88" s="116" t="s">
        <v>282</v>
      </c>
      <c r="B88" s="117" t="s">
        <v>408</v>
      </c>
      <c r="C88" s="190"/>
      <c r="D88" s="190"/>
      <c r="E88" s="190"/>
      <c r="F88" s="190"/>
      <c r="G88" s="190"/>
      <c r="H88" s="190"/>
      <c r="I88" s="190"/>
      <c r="J88" s="190"/>
      <c r="K88" s="190"/>
      <c r="L88" s="190"/>
      <c r="M88" s="190"/>
      <c r="N88" s="190"/>
      <c r="O88" s="190"/>
      <c r="P88" s="190"/>
      <c r="Q88" s="190"/>
      <c r="R88" s="190"/>
      <c r="S88" s="190"/>
      <c r="T88" s="190"/>
      <c r="U88" s="190"/>
      <c r="V88" s="190"/>
      <c r="W88" s="190"/>
      <c r="X88" s="190"/>
      <c r="Y88" s="190"/>
      <c r="Z88" s="190"/>
      <c r="AA88" s="190"/>
      <c r="AB88" s="112"/>
      <c r="AC88" s="112"/>
      <c r="AD88" s="112"/>
    </row>
    <row r="89" spans="1:30">
      <c r="A89" s="112"/>
      <c r="B89" s="112"/>
      <c r="C89" s="112"/>
      <c r="D89" s="112"/>
      <c r="E89" s="112"/>
      <c r="F89" s="112"/>
      <c r="G89" s="112"/>
      <c r="H89" s="112"/>
      <c r="I89" s="112"/>
      <c r="J89" s="112"/>
      <c r="K89" s="112"/>
      <c r="L89" s="112"/>
      <c r="M89" s="112"/>
      <c r="N89" s="112"/>
      <c r="O89" s="112"/>
      <c r="P89" s="112"/>
      <c r="Q89" s="112"/>
      <c r="R89" s="112"/>
      <c r="S89" s="112"/>
      <c r="T89" s="112"/>
      <c r="U89" s="112"/>
      <c r="V89" s="112"/>
      <c r="W89" s="112"/>
      <c r="X89" s="112"/>
      <c r="Y89" s="112"/>
      <c r="Z89" s="112"/>
      <c r="AA89" s="112"/>
      <c r="AB89" s="112"/>
      <c r="AC89" s="112"/>
      <c r="AD89" s="112"/>
    </row>
    <row r="90" spans="1:30">
      <c r="A90" s="112"/>
      <c r="B90" s="112"/>
      <c r="C90" s="112"/>
      <c r="D90" s="112"/>
      <c r="E90" s="112"/>
      <c r="F90" s="112"/>
      <c r="G90" s="112"/>
      <c r="H90" s="112"/>
      <c r="I90" s="112"/>
      <c r="J90" s="112"/>
      <c r="K90" s="112"/>
      <c r="L90" s="112"/>
      <c r="M90" s="112"/>
      <c r="N90" s="112"/>
      <c r="O90" s="112"/>
      <c r="P90" s="112"/>
      <c r="Q90" s="112"/>
      <c r="R90" s="112"/>
      <c r="S90" s="112"/>
      <c r="T90" s="112"/>
      <c r="U90" s="112"/>
      <c r="V90" s="112"/>
      <c r="W90" s="112"/>
      <c r="X90" s="112"/>
      <c r="Y90" s="112"/>
      <c r="Z90" s="112"/>
      <c r="AA90" s="112"/>
      <c r="AB90" s="112"/>
      <c r="AC90" s="112"/>
      <c r="AD90" s="112"/>
    </row>
  </sheetData>
  <mergeCells count="39">
    <mergeCell ref="E21:E34"/>
    <mergeCell ref="G21:G34"/>
    <mergeCell ref="AB21:AB34"/>
    <mergeCell ref="Y14:Y15"/>
    <mergeCell ref="H14:H15"/>
    <mergeCell ref="I14:I15"/>
    <mergeCell ref="L14:L15"/>
    <mergeCell ref="R14:R15"/>
    <mergeCell ref="T14:T15"/>
    <mergeCell ref="U14:U15"/>
    <mergeCell ref="F14:F15"/>
    <mergeCell ref="G14:G15"/>
    <mergeCell ref="J14:K14"/>
    <mergeCell ref="M14:Q14"/>
    <mergeCell ref="AA14:AA15"/>
    <mergeCell ref="X14:X15"/>
    <mergeCell ref="A14:A15"/>
    <mergeCell ref="B14:B15"/>
    <mergeCell ref="C14:C15"/>
    <mergeCell ref="AD14:AD15"/>
    <mergeCell ref="S14:S15"/>
    <mergeCell ref="W14:W15"/>
    <mergeCell ref="D14:D15"/>
    <mergeCell ref="E14:E15"/>
    <mergeCell ref="AB14:AB15"/>
    <mergeCell ref="AC14:AC15"/>
    <mergeCell ref="Z14:Z15"/>
    <mergeCell ref="A1:AC1"/>
    <mergeCell ref="A12:B12"/>
    <mergeCell ref="A8:AC8"/>
    <mergeCell ref="A9:Y9"/>
    <mergeCell ref="A10:AB10"/>
    <mergeCell ref="A11:AC11"/>
    <mergeCell ref="H12:AC12"/>
    <mergeCell ref="A2:AC3"/>
    <mergeCell ref="A4:AC4"/>
    <mergeCell ref="A5:AB5"/>
    <mergeCell ref="A6:AC6"/>
    <mergeCell ref="A7:AC7"/>
  </mergeCells>
  <phoneticPr fontId="55" type="noConversion"/>
  <hyperlinks>
    <hyperlink ref="B27" r:id="rId1" display="https://vanphongdientu.vatm.vn/modules/workflow/incctl.aspx?doc_action=8&amp;DocumentID=450775" xr:uid="{A6798955-0579-435F-813E-A96366972537}"/>
    <hyperlink ref="AC74" r:id="rId2" xr:uid="{9B160F7B-67D0-4B8E-B4FC-7C3CFC1B6283}"/>
    <hyperlink ref="AC73" r:id="rId3" xr:uid="{149B1F29-1647-4576-BB09-8CA802B9E536}"/>
  </hyperlinks>
  <pageMargins left="0.55118110236220474" right="0.23" top="0.62992125984251968" bottom="0.26" header="0.19685039370078741" footer="0.25"/>
  <pageSetup paperSize="9" scale="81" fitToHeight="0" orientation="landscape" r:id="rId4"/>
  <drawing r:id="rId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V68"/>
  <sheetViews>
    <sheetView topLeftCell="A28" workbookViewId="0">
      <selection activeCell="X8" sqref="X8"/>
    </sheetView>
  </sheetViews>
  <sheetFormatPr defaultRowHeight="15"/>
  <cols>
    <col min="12" max="19" width="0" hidden="1" customWidth="1"/>
  </cols>
  <sheetData>
    <row r="1" spans="1:22">
      <c r="A1" s="208" t="s">
        <v>217</v>
      </c>
      <c r="B1" s="208"/>
      <c r="C1" s="208"/>
      <c r="D1" s="208"/>
      <c r="E1" s="208"/>
      <c r="F1" s="208"/>
      <c r="G1" s="208"/>
      <c r="H1" s="208"/>
      <c r="I1" s="208"/>
      <c r="J1" s="208"/>
      <c r="K1" s="208"/>
      <c r="L1" s="208"/>
      <c r="M1" s="208"/>
      <c r="N1" s="208"/>
      <c r="O1" s="208"/>
      <c r="P1" s="208"/>
      <c r="Q1" s="208"/>
      <c r="R1" s="208"/>
      <c r="S1" s="208"/>
      <c r="T1" s="208"/>
      <c r="U1" s="208"/>
      <c r="V1" s="208"/>
    </row>
    <row r="2" spans="1:22">
      <c r="A2" s="208"/>
      <c r="B2" s="208"/>
      <c r="C2" s="208"/>
      <c r="D2" s="208"/>
      <c r="E2" s="208"/>
      <c r="F2" s="208"/>
      <c r="G2" s="208"/>
      <c r="H2" s="208"/>
      <c r="I2" s="208"/>
      <c r="J2" s="208"/>
      <c r="K2" s="208"/>
      <c r="L2" s="208"/>
      <c r="M2" s="208"/>
      <c r="N2" s="208"/>
      <c r="O2" s="208"/>
      <c r="P2" s="208"/>
      <c r="Q2" s="208"/>
      <c r="R2" s="208"/>
      <c r="S2" s="208"/>
      <c r="T2" s="208"/>
      <c r="U2" s="208"/>
      <c r="V2" s="208"/>
    </row>
    <row r="3" spans="1:22" ht="16.5">
      <c r="A3" s="209" t="s">
        <v>219</v>
      </c>
      <c r="B3" s="209"/>
      <c r="C3" s="209"/>
      <c r="D3" s="209"/>
      <c r="E3" s="209"/>
      <c r="F3" s="209"/>
      <c r="G3" s="209"/>
      <c r="H3" s="209"/>
      <c r="I3" s="209"/>
      <c r="J3" s="209"/>
      <c r="K3" s="209"/>
      <c r="L3" s="209"/>
      <c r="M3" s="209"/>
      <c r="N3" s="209"/>
      <c r="O3" s="209"/>
      <c r="P3" s="209"/>
      <c r="Q3" s="209"/>
      <c r="R3" s="209"/>
      <c r="S3" s="209"/>
      <c r="T3" s="209"/>
      <c r="U3" s="209"/>
      <c r="V3" s="209"/>
    </row>
    <row r="4" spans="1:22" ht="18.75">
      <c r="A4" s="210" t="s">
        <v>164</v>
      </c>
      <c r="B4" s="210"/>
      <c r="C4" s="210"/>
      <c r="D4" s="210"/>
      <c r="E4" s="210"/>
      <c r="F4" s="210"/>
      <c r="G4" s="210"/>
      <c r="H4" s="210"/>
      <c r="I4" s="210"/>
      <c r="J4" s="210"/>
      <c r="K4" s="210"/>
      <c r="L4" s="210"/>
      <c r="M4" s="210"/>
      <c r="N4" s="210"/>
      <c r="O4" s="210"/>
      <c r="P4" s="210"/>
      <c r="Q4" s="210"/>
      <c r="R4" s="210"/>
      <c r="S4" s="210"/>
      <c r="T4" s="210"/>
      <c r="U4" s="210"/>
      <c r="V4" s="62"/>
    </row>
    <row r="5" spans="1:22" ht="18.75">
      <c r="A5" s="207" t="s">
        <v>165</v>
      </c>
      <c r="B5" s="207"/>
      <c r="C5" s="207"/>
      <c r="D5" s="207"/>
      <c r="E5" s="207"/>
      <c r="F5" s="207"/>
      <c r="G5" s="207"/>
      <c r="H5" s="207"/>
      <c r="I5" s="207"/>
      <c r="J5" s="207"/>
      <c r="K5" s="207"/>
      <c r="L5" s="207"/>
      <c r="M5" s="207"/>
      <c r="N5" s="207"/>
      <c r="O5" s="207"/>
      <c r="P5" s="207"/>
      <c r="Q5" s="207"/>
      <c r="R5" s="207"/>
      <c r="S5" s="207"/>
      <c r="T5" s="207"/>
      <c r="U5" s="207"/>
      <c r="V5" s="207"/>
    </row>
    <row r="6" spans="1:22" ht="18.75">
      <c r="A6" s="207" t="s">
        <v>166</v>
      </c>
      <c r="B6" s="207"/>
      <c r="C6" s="207"/>
      <c r="D6" s="207"/>
      <c r="E6" s="207"/>
      <c r="F6" s="207"/>
      <c r="G6" s="207"/>
      <c r="H6" s="207"/>
      <c r="I6" s="207"/>
      <c r="J6" s="207"/>
      <c r="K6" s="207"/>
      <c r="L6" s="207"/>
      <c r="M6" s="207"/>
      <c r="N6" s="207"/>
      <c r="O6" s="207"/>
      <c r="P6" s="207"/>
      <c r="Q6" s="207"/>
      <c r="R6" s="207"/>
      <c r="S6" s="207"/>
      <c r="T6" s="207"/>
      <c r="U6" s="207"/>
      <c r="V6" s="207"/>
    </row>
    <row r="7" spans="1:22" ht="18.75">
      <c r="A7" s="207" t="s">
        <v>167</v>
      </c>
      <c r="B7" s="207"/>
      <c r="C7" s="207"/>
      <c r="D7" s="207"/>
      <c r="E7" s="207"/>
      <c r="F7" s="207"/>
      <c r="G7" s="207"/>
      <c r="H7" s="207"/>
      <c r="I7" s="207"/>
      <c r="J7" s="207"/>
      <c r="K7" s="207"/>
      <c r="L7" s="207"/>
      <c r="M7" s="207"/>
      <c r="N7" s="207"/>
      <c r="O7" s="207"/>
      <c r="P7" s="207"/>
      <c r="Q7" s="207"/>
      <c r="R7" s="207"/>
      <c r="S7" s="207"/>
      <c r="T7" s="207"/>
      <c r="U7" s="207"/>
      <c r="V7" s="207"/>
    </row>
    <row r="8" spans="1:22" ht="18.75">
      <c r="A8" s="213" t="s">
        <v>168</v>
      </c>
      <c r="B8" s="213"/>
      <c r="C8" s="213"/>
      <c r="D8" s="213"/>
      <c r="E8" s="213"/>
      <c r="F8" s="213"/>
      <c r="G8" s="213"/>
      <c r="H8" s="213"/>
      <c r="I8" s="213"/>
      <c r="J8" s="213"/>
      <c r="K8" s="213"/>
      <c r="L8" s="213"/>
      <c r="M8" s="213"/>
      <c r="N8" s="213"/>
      <c r="O8" s="213"/>
      <c r="P8" s="213"/>
      <c r="Q8" s="213"/>
      <c r="R8" s="213"/>
      <c r="S8" s="24"/>
      <c r="T8" s="57"/>
      <c r="U8" s="57"/>
      <c r="V8" s="62"/>
    </row>
    <row r="9" spans="1:22" ht="18.75">
      <c r="A9" s="207" t="s">
        <v>169</v>
      </c>
      <c r="B9" s="207"/>
      <c r="C9" s="207"/>
      <c r="D9" s="207"/>
      <c r="E9" s="207"/>
      <c r="F9" s="207"/>
      <c r="G9" s="207"/>
      <c r="H9" s="207"/>
      <c r="I9" s="207"/>
      <c r="J9" s="207"/>
      <c r="K9" s="207"/>
      <c r="L9" s="207"/>
      <c r="M9" s="207"/>
      <c r="N9" s="207"/>
      <c r="O9" s="207"/>
      <c r="P9" s="207"/>
      <c r="Q9" s="207"/>
      <c r="R9" s="207"/>
      <c r="S9" s="207"/>
      <c r="T9" s="207"/>
      <c r="U9" s="207"/>
      <c r="V9" s="62"/>
    </row>
    <row r="10" spans="1:22" ht="18.75">
      <c r="A10" s="207" t="s">
        <v>170</v>
      </c>
      <c r="B10" s="207"/>
      <c r="C10" s="207"/>
      <c r="D10" s="207"/>
      <c r="E10" s="207"/>
      <c r="F10" s="207"/>
      <c r="G10" s="207"/>
      <c r="H10" s="207"/>
      <c r="I10" s="207"/>
      <c r="J10" s="207"/>
      <c r="K10" s="207"/>
      <c r="L10" s="207"/>
      <c r="M10" s="207"/>
      <c r="N10" s="207"/>
      <c r="O10" s="207"/>
      <c r="P10" s="207"/>
      <c r="Q10" s="207"/>
      <c r="R10" s="207"/>
      <c r="S10" s="207"/>
      <c r="T10" s="207"/>
      <c r="U10" s="207"/>
      <c r="V10" s="207"/>
    </row>
    <row r="11" spans="1:22" ht="18.75">
      <c r="A11" s="214"/>
      <c r="B11" s="214"/>
      <c r="C11" s="214"/>
      <c r="D11" s="23"/>
      <c r="E11" s="23"/>
      <c r="F11" s="23"/>
      <c r="G11" s="23"/>
      <c r="H11" s="23"/>
      <c r="I11" s="23"/>
      <c r="J11" s="215" t="s">
        <v>214</v>
      </c>
      <c r="K11" s="216"/>
      <c r="L11" s="216"/>
      <c r="M11" s="216"/>
      <c r="N11" s="216"/>
      <c r="O11" s="216"/>
      <c r="P11" s="216"/>
      <c r="Q11" s="216"/>
      <c r="R11" s="216"/>
      <c r="S11" s="216"/>
      <c r="T11" s="216"/>
      <c r="U11" s="216"/>
      <c r="V11" s="216"/>
    </row>
    <row r="12" spans="1:22" ht="15.75">
      <c r="A12" s="62"/>
      <c r="B12" s="58"/>
      <c r="C12" s="62"/>
      <c r="D12" s="62"/>
      <c r="E12" s="62"/>
      <c r="F12" s="62"/>
      <c r="G12" s="62"/>
      <c r="H12" s="62"/>
      <c r="I12" s="62"/>
      <c r="J12" s="62"/>
      <c r="K12" s="62"/>
      <c r="L12" s="62"/>
      <c r="M12" s="62"/>
      <c r="N12" s="62"/>
      <c r="O12" s="62"/>
      <c r="P12" s="62"/>
      <c r="Q12" s="62"/>
      <c r="R12" s="62"/>
      <c r="S12" s="62"/>
      <c r="T12" s="4"/>
      <c r="U12" s="62"/>
      <c r="V12" s="62"/>
    </row>
    <row r="13" spans="1:22">
      <c r="A13" s="217" t="s">
        <v>2</v>
      </c>
      <c r="B13" s="218" t="s">
        <v>6</v>
      </c>
      <c r="C13" s="219" t="s">
        <v>17</v>
      </c>
      <c r="D13" s="219" t="s">
        <v>18</v>
      </c>
      <c r="E13" s="219" t="s">
        <v>69</v>
      </c>
      <c r="F13" s="218" t="s">
        <v>70</v>
      </c>
      <c r="G13" s="218" t="s">
        <v>19</v>
      </c>
      <c r="H13" s="218" t="s">
        <v>20</v>
      </c>
      <c r="I13" s="218" t="s">
        <v>21</v>
      </c>
      <c r="J13" s="221" t="s">
        <v>71</v>
      </c>
      <c r="K13" s="218" t="s">
        <v>22</v>
      </c>
      <c r="L13" s="220" t="s">
        <v>72</v>
      </c>
      <c r="M13" s="222" t="s">
        <v>73</v>
      </c>
      <c r="N13" s="222" t="s">
        <v>74</v>
      </c>
      <c r="O13" s="222" t="s">
        <v>75</v>
      </c>
      <c r="P13" s="220" t="s">
        <v>76</v>
      </c>
      <c r="Q13" s="220"/>
      <c r="R13" s="220" t="s">
        <v>23</v>
      </c>
      <c r="S13" s="63"/>
      <c r="T13" s="211" t="s">
        <v>23</v>
      </c>
      <c r="U13" s="212" t="s">
        <v>77</v>
      </c>
      <c r="V13" s="211" t="s">
        <v>0</v>
      </c>
    </row>
    <row r="14" spans="1:22" ht="102.6" customHeight="1">
      <c r="A14" s="217"/>
      <c r="B14" s="218"/>
      <c r="C14" s="219"/>
      <c r="D14" s="219"/>
      <c r="E14" s="219"/>
      <c r="F14" s="218"/>
      <c r="G14" s="218"/>
      <c r="H14" s="218"/>
      <c r="I14" s="218"/>
      <c r="J14" s="221"/>
      <c r="K14" s="218"/>
      <c r="L14" s="220"/>
      <c r="M14" s="222"/>
      <c r="N14" s="222"/>
      <c r="O14" s="222"/>
      <c r="P14" s="32" t="s">
        <v>78</v>
      </c>
      <c r="Q14" s="63" t="s">
        <v>79</v>
      </c>
      <c r="R14" s="220"/>
      <c r="S14" s="63" t="s">
        <v>171</v>
      </c>
      <c r="T14" s="211"/>
      <c r="U14" s="212"/>
      <c r="V14" s="211"/>
    </row>
    <row r="15" spans="1:22">
      <c r="A15" s="33" t="s">
        <v>51</v>
      </c>
      <c r="B15" s="64">
        <v>2</v>
      </c>
      <c r="C15" s="64">
        <v>3</v>
      </c>
      <c r="D15" s="64">
        <v>4</v>
      </c>
      <c r="E15" s="64">
        <v>5</v>
      </c>
      <c r="F15" s="64">
        <v>6</v>
      </c>
      <c r="G15" s="64">
        <v>7</v>
      </c>
      <c r="H15" s="64">
        <v>8</v>
      </c>
      <c r="I15" s="64">
        <v>9</v>
      </c>
      <c r="J15" s="65" t="s">
        <v>65</v>
      </c>
      <c r="K15" s="65" t="s">
        <v>62</v>
      </c>
      <c r="L15" s="66"/>
      <c r="M15" s="66"/>
      <c r="N15" s="66"/>
      <c r="O15" s="66"/>
      <c r="P15" s="66"/>
      <c r="Q15" s="67"/>
      <c r="R15" s="67"/>
      <c r="S15" s="67"/>
      <c r="T15" s="64">
        <v>12</v>
      </c>
      <c r="U15" s="64">
        <v>13</v>
      </c>
      <c r="V15" s="64">
        <v>14</v>
      </c>
    </row>
    <row r="16" spans="1:22" ht="63.75">
      <c r="A16" s="31" t="s">
        <v>5</v>
      </c>
      <c r="B16" s="68" t="s">
        <v>80</v>
      </c>
      <c r="C16" s="68"/>
      <c r="D16" s="68"/>
      <c r="E16" s="68"/>
      <c r="F16" s="68"/>
      <c r="G16" s="68"/>
      <c r="H16" s="68"/>
      <c r="I16" s="68"/>
      <c r="J16" s="68"/>
      <c r="K16" s="68"/>
      <c r="L16" s="69"/>
      <c r="M16" s="69"/>
      <c r="N16" s="69"/>
      <c r="O16" s="69"/>
      <c r="P16" s="69"/>
      <c r="Q16" s="68"/>
      <c r="R16" s="34">
        <f>R17+R40+R42+R47</f>
        <v>688020000</v>
      </c>
      <c r="S16" s="34">
        <f>S17+S40+S42+S47</f>
        <v>690500000</v>
      </c>
      <c r="T16" s="35">
        <f>S16/1000</f>
        <v>690500</v>
      </c>
      <c r="U16" s="68"/>
      <c r="V16" s="68"/>
    </row>
    <row r="17" spans="1:22" ht="38.25">
      <c r="A17" s="31" t="s">
        <v>1</v>
      </c>
      <c r="B17" s="70" t="s">
        <v>81</v>
      </c>
      <c r="C17" s="70"/>
      <c r="D17" s="70"/>
      <c r="E17" s="70"/>
      <c r="F17" s="70"/>
      <c r="G17" s="70"/>
      <c r="H17" s="70"/>
      <c r="I17" s="70"/>
      <c r="J17" s="70"/>
      <c r="K17" s="70"/>
      <c r="L17" s="71"/>
      <c r="M17" s="71"/>
      <c r="N17" s="71"/>
      <c r="O17" s="71"/>
      <c r="P17" s="71"/>
      <c r="Q17" s="70"/>
      <c r="R17" s="34">
        <f>SUM(R18:R33)</f>
        <v>515460000</v>
      </c>
      <c r="S17" s="34">
        <f>SUM(S18:S33)</f>
        <v>516000000</v>
      </c>
      <c r="T17" s="35">
        <f t="shared" ref="T17:T21" si="0">S17/1000</f>
        <v>516000</v>
      </c>
      <c r="U17" s="70"/>
      <c r="V17" s="70"/>
    </row>
    <row r="18" spans="1:22" ht="331.5">
      <c r="A18" s="25" t="s">
        <v>51</v>
      </c>
      <c r="B18" s="36" t="s">
        <v>172</v>
      </c>
      <c r="C18" s="25" t="s">
        <v>218</v>
      </c>
      <c r="D18" s="72" t="s">
        <v>220</v>
      </c>
      <c r="E18" s="25" t="s">
        <v>173</v>
      </c>
      <c r="F18" s="70"/>
      <c r="G18" s="70"/>
      <c r="H18" s="37" t="s">
        <v>50</v>
      </c>
      <c r="I18" s="37" t="s">
        <v>51</v>
      </c>
      <c r="J18" s="37" t="s">
        <v>82</v>
      </c>
      <c r="K18" s="37" t="s">
        <v>82</v>
      </c>
      <c r="L18" s="71"/>
      <c r="M18" s="71"/>
      <c r="N18" s="71"/>
      <c r="O18" s="38"/>
      <c r="P18" s="38"/>
      <c r="Q18" s="38"/>
      <c r="R18" s="38">
        <v>90000000</v>
      </c>
      <c r="S18" s="38">
        <v>90000000</v>
      </c>
      <c r="T18" s="28">
        <f t="shared" si="0"/>
        <v>90000</v>
      </c>
      <c r="U18" s="70"/>
      <c r="V18" s="26"/>
    </row>
    <row r="19" spans="1:22" ht="409.5">
      <c r="A19" s="25" t="s">
        <v>50</v>
      </c>
      <c r="B19" s="36" t="s">
        <v>27</v>
      </c>
      <c r="C19" s="37" t="s">
        <v>221</v>
      </c>
      <c r="D19" s="42" t="s">
        <v>222</v>
      </c>
      <c r="E19" s="37" t="s">
        <v>223</v>
      </c>
      <c r="F19" s="37" t="s">
        <v>83</v>
      </c>
      <c r="G19" s="73"/>
      <c r="H19" s="37" t="s">
        <v>67</v>
      </c>
      <c r="I19" s="37" t="s">
        <v>50</v>
      </c>
      <c r="J19" s="37" t="s">
        <v>84</v>
      </c>
      <c r="K19" s="37" t="s">
        <v>85</v>
      </c>
      <c r="L19" s="38"/>
      <c r="M19" s="38"/>
      <c r="N19" s="38"/>
      <c r="O19" s="38">
        <v>185000000</v>
      </c>
      <c r="P19" s="38"/>
      <c r="Q19" s="38"/>
      <c r="R19" s="38">
        <f>O19*2</f>
        <v>370000000</v>
      </c>
      <c r="S19" s="38">
        <v>370000000</v>
      </c>
      <c r="T19" s="39">
        <f t="shared" si="0"/>
        <v>370000</v>
      </c>
      <c r="U19" s="74" t="s">
        <v>133</v>
      </c>
      <c r="V19" s="75"/>
    </row>
    <row r="20" spans="1:22" ht="357">
      <c r="A20" s="25" t="s">
        <v>8</v>
      </c>
      <c r="B20" s="40" t="s">
        <v>53</v>
      </c>
      <c r="C20" s="25" t="s">
        <v>8</v>
      </c>
      <c r="D20" s="76" t="s">
        <v>224</v>
      </c>
      <c r="E20" s="74" t="s">
        <v>162</v>
      </c>
      <c r="F20" s="25" t="s">
        <v>83</v>
      </c>
      <c r="G20" s="77"/>
      <c r="H20" s="25" t="s">
        <v>84</v>
      </c>
      <c r="I20" s="41"/>
      <c r="J20" s="25"/>
      <c r="K20" s="25" t="s">
        <v>54</v>
      </c>
      <c r="L20" s="39"/>
      <c r="M20" s="39"/>
      <c r="N20" s="39"/>
      <c r="O20" s="39"/>
      <c r="P20" s="39"/>
      <c r="Q20" s="39"/>
      <c r="R20" s="38"/>
      <c r="S20" s="38"/>
      <c r="T20" s="39"/>
      <c r="U20" s="74" t="s">
        <v>28</v>
      </c>
      <c r="V20" s="36" t="s">
        <v>86</v>
      </c>
    </row>
    <row r="21" spans="1:22" ht="63.75">
      <c r="A21" s="25" t="s">
        <v>7</v>
      </c>
      <c r="B21" s="40" t="s">
        <v>174</v>
      </c>
      <c r="C21" s="25" t="s">
        <v>215</v>
      </c>
      <c r="D21" s="42" t="s">
        <v>225</v>
      </c>
      <c r="E21" s="42" t="s">
        <v>87</v>
      </c>
      <c r="F21" s="42"/>
      <c r="G21" s="25" t="s">
        <v>16</v>
      </c>
      <c r="H21" s="25" t="s">
        <v>50</v>
      </c>
      <c r="I21" s="25" t="s">
        <v>7</v>
      </c>
      <c r="J21" s="25"/>
      <c r="K21" s="25" t="s">
        <v>88</v>
      </c>
      <c r="L21" s="38">
        <v>1000000</v>
      </c>
      <c r="M21" s="38">
        <v>460000</v>
      </c>
      <c r="N21" s="38"/>
      <c r="O21" s="38">
        <v>54000000</v>
      </c>
      <c r="P21" s="39"/>
      <c r="Q21" s="39"/>
      <c r="R21" s="38">
        <f t="shared" ref="R21" si="1">SUM(L21:Q21)</f>
        <v>55460000</v>
      </c>
      <c r="S21" s="38">
        <v>56000000</v>
      </c>
      <c r="T21" s="39">
        <f t="shared" si="0"/>
        <v>56000</v>
      </c>
      <c r="U21" s="74" t="s">
        <v>175</v>
      </c>
      <c r="V21" s="77"/>
    </row>
    <row r="22" spans="1:22" ht="63.75">
      <c r="A22" s="25" t="s">
        <v>54</v>
      </c>
      <c r="B22" s="40" t="s">
        <v>176</v>
      </c>
      <c r="C22" s="25" t="s">
        <v>218</v>
      </c>
      <c r="D22" s="25" t="s">
        <v>226</v>
      </c>
      <c r="E22" s="42" t="s">
        <v>16</v>
      </c>
      <c r="F22" s="42"/>
      <c r="G22" s="25"/>
      <c r="H22" s="25"/>
      <c r="I22" s="223" t="s">
        <v>90</v>
      </c>
      <c r="J22" s="25" t="s">
        <v>50</v>
      </c>
      <c r="K22" s="25"/>
      <c r="L22" s="38"/>
      <c r="M22" s="38"/>
      <c r="N22" s="38"/>
      <c r="O22" s="38"/>
      <c r="P22" s="39"/>
      <c r="Q22" s="39"/>
      <c r="R22" s="38"/>
      <c r="S22" s="38"/>
      <c r="T22" s="39"/>
      <c r="U22" s="226" t="s">
        <v>90</v>
      </c>
      <c r="V22" s="77"/>
    </row>
    <row r="23" spans="1:22" ht="89.25">
      <c r="A23" s="25" t="s">
        <v>55</v>
      </c>
      <c r="B23" s="40" t="s">
        <v>177</v>
      </c>
      <c r="C23" s="25" t="s">
        <v>218</v>
      </c>
      <c r="D23" s="25" t="s">
        <v>227</v>
      </c>
      <c r="E23" s="42" t="s">
        <v>16</v>
      </c>
      <c r="F23" s="42"/>
      <c r="G23" s="25"/>
      <c r="H23" s="25"/>
      <c r="I23" s="224"/>
      <c r="J23" s="25" t="s">
        <v>50</v>
      </c>
      <c r="K23" s="25"/>
      <c r="L23" s="38"/>
      <c r="M23" s="38"/>
      <c r="N23" s="38"/>
      <c r="O23" s="38"/>
      <c r="P23" s="39"/>
      <c r="Q23" s="39"/>
      <c r="R23" s="38"/>
      <c r="S23" s="38"/>
      <c r="T23" s="39"/>
      <c r="U23" s="226"/>
      <c r="V23" s="77"/>
    </row>
    <row r="24" spans="1:22" ht="51">
      <c r="A24" s="25" t="s">
        <v>59</v>
      </c>
      <c r="B24" s="40" t="s">
        <v>178</v>
      </c>
      <c r="C24" s="25" t="s">
        <v>218</v>
      </c>
      <c r="D24" s="25" t="s">
        <v>228</v>
      </c>
      <c r="E24" s="42" t="s">
        <v>16</v>
      </c>
      <c r="F24" s="42"/>
      <c r="G24" s="25"/>
      <c r="H24" s="25"/>
      <c r="I24" s="224"/>
      <c r="J24" s="25" t="s">
        <v>50</v>
      </c>
      <c r="K24" s="25"/>
      <c r="L24" s="38"/>
      <c r="M24" s="38"/>
      <c r="N24" s="38"/>
      <c r="O24" s="38"/>
      <c r="P24" s="39"/>
      <c r="Q24" s="39"/>
      <c r="R24" s="38"/>
      <c r="S24" s="38"/>
      <c r="T24" s="39"/>
      <c r="U24" s="226"/>
      <c r="V24" s="77"/>
    </row>
    <row r="25" spans="1:22" ht="51">
      <c r="A25" s="25" t="s">
        <v>60</v>
      </c>
      <c r="B25" s="40" t="s">
        <v>194</v>
      </c>
      <c r="C25" s="25" t="s">
        <v>218</v>
      </c>
      <c r="D25" s="25" t="s">
        <v>229</v>
      </c>
      <c r="E25" s="42" t="s">
        <v>16</v>
      </c>
      <c r="F25" s="42"/>
      <c r="G25" s="25"/>
      <c r="H25" s="25"/>
      <c r="I25" s="224"/>
      <c r="J25" s="25"/>
      <c r="K25" s="25"/>
      <c r="L25" s="38"/>
      <c r="M25" s="38"/>
      <c r="N25" s="38"/>
      <c r="O25" s="38"/>
      <c r="P25" s="39"/>
      <c r="Q25" s="39"/>
      <c r="R25" s="38"/>
      <c r="S25" s="38"/>
      <c r="T25" s="39"/>
      <c r="U25" s="226"/>
      <c r="V25" s="77"/>
    </row>
    <row r="26" spans="1:22" ht="38.25">
      <c r="A26" s="25" t="s">
        <v>61</v>
      </c>
      <c r="B26" s="79" t="s">
        <v>94</v>
      </c>
      <c r="C26" s="25" t="s">
        <v>218</v>
      </c>
      <c r="D26" s="25" t="s">
        <v>230</v>
      </c>
      <c r="E26" s="42" t="s">
        <v>16</v>
      </c>
      <c r="F26" s="42"/>
      <c r="G26" s="25"/>
      <c r="H26" s="25"/>
      <c r="I26" s="224"/>
      <c r="J26" s="25" t="s">
        <v>8</v>
      </c>
      <c r="K26" s="25"/>
      <c r="L26" s="38"/>
      <c r="M26" s="38"/>
      <c r="N26" s="38"/>
      <c r="O26" s="38"/>
      <c r="P26" s="39"/>
      <c r="Q26" s="39"/>
      <c r="R26" s="38"/>
      <c r="S26" s="38"/>
      <c r="T26" s="39"/>
      <c r="U26" s="226"/>
      <c r="V26" s="77"/>
    </row>
    <row r="27" spans="1:22" ht="25.5">
      <c r="A27" s="25" t="s">
        <v>65</v>
      </c>
      <c r="B27" s="79" t="s">
        <v>216</v>
      </c>
      <c r="C27" s="25" t="s">
        <v>218</v>
      </c>
      <c r="D27" s="25" t="s">
        <v>231</v>
      </c>
      <c r="E27" s="42" t="s">
        <v>16</v>
      </c>
      <c r="F27" s="42"/>
      <c r="G27" s="25"/>
      <c r="H27" s="25"/>
      <c r="I27" s="224"/>
      <c r="J27" s="25" t="s">
        <v>8</v>
      </c>
      <c r="K27" s="25"/>
      <c r="L27" s="38"/>
      <c r="M27" s="38"/>
      <c r="N27" s="38"/>
      <c r="O27" s="38"/>
      <c r="P27" s="39"/>
      <c r="Q27" s="39"/>
      <c r="R27" s="38"/>
      <c r="S27" s="38"/>
      <c r="T27" s="39"/>
      <c r="U27" s="226"/>
      <c r="V27" s="77"/>
    </row>
    <row r="28" spans="1:22" ht="51">
      <c r="A28" s="25" t="s">
        <v>62</v>
      </c>
      <c r="B28" s="80" t="s">
        <v>195</v>
      </c>
      <c r="C28" s="25" t="s">
        <v>218</v>
      </c>
      <c r="D28" s="25" t="s">
        <v>232</v>
      </c>
      <c r="E28" s="43" t="s">
        <v>16</v>
      </c>
      <c r="F28" s="43"/>
      <c r="G28" s="25"/>
      <c r="H28" s="25"/>
      <c r="I28" s="224"/>
      <c r="J28" s="25" t="s">
        <v>50</v>
      </c>
      <c r="K28" s="25"/>
      <c r="L28" s="38"/>
      <c r="M28" s="38"/>
      <c r="N28" s="38"/>
      <c r="O28" s="38"/>
      <c r="P28" s="39"/>
      <c r="Q28" s="39"/>
      <c r="R28" s="38"/>
      <c r="S28" s="38"/>
      <c r="T28" s="39"/>
      <c r="U28" s="226"/>
      <c r="V28" s="77"/>
    </row>
    <row r="29" spans="1:22" ht="38.25">
      <c r="A29" s="25" t="s">
        <v>63</v>
      </c>
      <c r="B29" s="40" t="s">
        <v>89</v>
      </c>
      <c r="C29" s="25" t="s">
        <v>7</v>
      </c>
      <c r="D29" s="25" t="s">
        <v>233</v>
      </c>
      <c r="E29" s="42" t="s">
        <v>87</v>
      </c>
      <c r="F29" s="42"/>
      <c r="G29" s="25"/>
      <c r="H29" s="25"/>
      <c r="I29" s="225"/>
      <c r="J29" s="25" t="s">
        <v>65</v>
      </c>
      <c r="K29" s="25" t="s">
        <v>65</v>
      </c>
      <c r="L29" s="38"/>
      <c r="M29" s="38"/>
      <c r="N29" s="38"/>
      <c r="O29" s="38"/>
      <c r="P29" s="39"/>
      <c r="Q29" s="39"/>
      <c r="R29" s="38"/>
      <c r="S29" s="38"/>
      <c r="T29" s="39"/>
      <c r="U29" s="226"/>
      <c r="V29" s="81" t="s">
        <v>197</v>
      </c>
    </row>
    <row r="30" spans="1:22" ht="306">
      <c r="A30" s="25" t="s">
        <v>64</v>
      </c>
      <c r="B30" s="40" t="s">
        <v>91</v>
      </c>
      <c r="C30" s="25" t="s">
        <v>50</v>
      </c>
      <c r="D30" s="82" t="s">
        <v>234</v>
      </c>
      <c r="E30" s="42" t="s">
        <v>179</v>
      </c>
      <c r="F30" s="42"/>
      <c r="G30" s="25"/>
      <c r="H30" s="25"/>
      <c r="I30" s="78"/>
      <c r="J30" s="25" t="s">
        <v>50</v>
      </c>
      <c r="K30" s="25"/>
      <c r="L30" s="39"/>
      <c r="M30" s="39"/>
      <c r="N30" s="39"/>
      <c r="O30" s="39"/>
      <c r="P30" s="39"/>
      <c r="Q30" s="39"/>
      <c r="R30" s="38"/>
      <c r="S30" s="38"/>
      <c r="T30" s="39"/>
      <c r="U30" s="83"/>
      <c r="V30" s="84"/>
    </row>
    <row r="31" spans="1:22" ht="51">
      <c r="A31" s="25" t="s">
        <v>66</v>
      </c>
      <c r="B31" s="40" t="s">
        <v>92</v>
      </c>
      <c r="C31" s="25" t="s">
        <v>67</v>
      </c>
      <c r="D31" s="42" t="s">
        <v>235</v>
      </c>
      <c r="E31" s="42" t="s">
        <v>87</v>
      </c>
      <c r="F31" s="42"/>
      <c r="G31" s="77"/>
      <c r="H31" s="25"/>
      <c r="I31" s="83"/>
      <c r="J31" s="25" t="s">
        <v>50</v>
      </c>
      <c r="K31" s="25"/>
      <c r="L31" s="39"/>
      <c r="M31" s="39"/>
      <c r="N31" s="39"/>
      <c r="O31" s="39"/>
      <c r="P31" s="39"/>
      <c r="Q31" s="39"/>
      <c r="R31" s="38"/>
      <c r="S31" s="38"/>
      <c r="T31" s="39"/>
      <c r="U31" s="83"/>
      <c r="V31" s="84"/>
    </row>
    <row r="32" spans="1:22" ht="76.5">
      <c r="A32" s="25" t="s">
        <v>67</v>
      </c>
      <c r="B32" s="40" t="s">
        <v>198</v>
      </c>
      <c r="C32" s="25" t="s">
        <v>8</v>
      </c>
      <c r="D32" s="42" t="s">
        <v>236</v>
      </c>
      <c r="E32" s="42" t="s">
        <v>182</v>
      </c>
      <c r="F32" s="42"/>
      <c r="G32" s="77"/>
      <c r="H32" s="25"/>
      <c r="I32" s="83"/>
      <c r="J32" s="25" t="s">
        <v>7</v>
      </c>
      <c r="K32" s="25"/>
      <c r="L32" s="39"/>
      <c r="M32" s="39"/>
      <c r="N32" s="39"/>
      <c r="O32" s="39"/>
      <c r="P32" s="39"/>
      <c r="Q32" s="39"/>
      <c r="R32" s="38"/>
      <c r="S32" s="38"/>
      <c r="T32" s="39"/>
      <c r="U32" s="83"/>
      <c r="V32" s="84"/>
    </row>
    <row r="33" spans="1:22" ht="76.5">
      <c r="A33" s="25" t="s">
        <v>52</v>
      </c>
      <c r="B33" s="40" t="s">
        <v>93</v>
      </c>
      <c r="C33" s="25" t="s">
        <v>54</v>
      </c>
      <c r="D33" s="42" t="s">
        <v>236</v>
      </c>
      <c r="E33" s="85" t="s">
        <v>182</v>
      </c>
      <c r="F33" s="42"/>
      <c r="G33" s="77"/>
      <c r="H33" s="25"/>
      <c r="I33" s="83"/>
      <c r="J33" s="25" t="s">
        <v>8</v>
      </c>
      <c r="K33" s="25"/>
      <c r="L33" s="39"/>
      <c r="M33" s="39"/>
      <c r="N33" s="39"/>
      <c r="O33" s="39"/>
      <c r="P33" s="39"/>
      <c r="Q33" s="39"/>
      <c r="R33" s="38"/>
      <c r="S33" s="38"/>
      <c r="T33" s="39"/>
      <c r="U33" s="83"/>
      <c r="V33" s="84"/>
    </row>
    <row r="34" spans="1:22" ht="369.75">
      <c r="A34" s="25" t="s">
        <v>215</v>
      </c>
      <c r="B34" s="40" t="s">
        <v>200</v>
      </c>
      <c r="C34" s="25" t="s">
        <v>8</v>
      </c>
      <c r="D34" s="42" t="s">
        <v>237</v>
      </c>
      <c r="E34" s="42" t="s">
        <v>201</v>
      </c>
      <c r="F34" s="42"/>
      <c r="G34" s="77"/>
      <c r="H34" s="25"/>
      <c r="I34" s="25"/>
      <c r="J34" s="25" t="s">
        <v>65</v>
      </c>
      <c r="K34" s="25"/>
      <c r="L34" s="39"/>
      <c r="M34" s="39"/>
      <c r="N34" s="39"/>
      <c r="O34" s="39"/>
      <c r="P34" s="39"/>
      <c r="Q34" s="39"/>
      <c r="R34" s="38"/>
      <c r="S34" s="38"/>
      <c r="T34" s="39"/>
      <c r="U34" s="25"/>
      <c r="V34" s="84"/>
    </row>
    <row r="35" spans="1:22" ht="38.25">
      <c r="A35" s="31" t="s">
        <v>3</v>
      </c>
      <c r="B35" s="70" t="s">
        <v>24</v>
      </c>
      <c r="C35" s="70"/>
      <c r="D35" s="70"/>
      <c r="E35" s="70"/>
      <c r="F35" s="70"/>
      <c r="G35" s="70"/>
      <c r="H35" s="70"/>
      <c r="I35" s="70"/>
      <c r="J35" s="70"/>
      <c r="K35" s="70"/>
      <c r="L35" s="70"/>
      <c r="M35" s="70"/>
      <c r="N35" s="70"/>
      <c r="O35" s="70"/>
      <c r="P35" s="70"/>
      <c r="Q35" s="70"/>
      <c r="R35" s="86"/>
      <c r="S35" s="86"/>
      <c r="T35" s="87"/>
      <c r="U35" s="70"/>
      <c r="V35" s="70"/>
    </row>
    <row r="36" spans="1:22">
      <c r="A36" s="31" t="s">
        <v>95</v>
      </c>
      <c r="B36" s="227" t="s">
        <v>96</v>
      </c>
      <c r="C36" s="227"/>
      <c r="D36" s="227"/>
      <c r="E36" s="227"/>
      <c r="F36" s="227"/>
      <c r="G36" s="227"/>
      <c r="H36" s="227"/>
      <c r="I36" s="227"/>
      <c r="J36" s="227"/>
      <c r="K36" s="227"/>
      <c r="L36" s="227"/>
      <c r="M36" s="227"/>
      <c r="N36" s="227"/>
      <c r="O36" s="227"/>
      <c r="P36" s="227"/>
      <c r="Q36" s="227"/>
      <c r="R36" s="227"/>
      <c r="S36" s="227"/>
      <c r="T36" s="227"/>
      <c r="U36" s="227"/>
      <c r="V36" s="227"/>
    </row>
    <row r="37" spans="1:22" ht="51">
      <c r="A37" s="31" t="s">
        <v>54</v>
      </c>
      <c r="B37" s="70" t="s">
        <v>97</v>
      </c>
      <c r="C37" s="70"/>
      <c r="D37" s="70"/>
      <c r="E37" s="70"/>
      <c r="F37" s="70"/>
      <c r="G37" s="70"/>
      <c r="H37" s="70"/>
      <c r="I37" s="70"/>
      <c r="J37" s="70"/>
      <c r="K37" s="70"/>
      <c r="L37" s="70"/>
      <c r="M37" s="70"/>
      <c r="N37" s="70"/>
      <c r="O37" s="70"/>
      <c r="P37" s="70"/>
      <c r="Q37" s="70"/>
      <c r="R37" s="70"/>
      <c r="S37" s="70"/>
      <c r="T37" s="70"/>
      <c r="U37" s="70"/>
      <c r="V37" s="70"/>
    </row>
    <row r="38" spans="1:22" ht="40.5">
      <c r="A38" s="45" t="s">
        <v>98</v>
      </c>
      <c r="B38" s="88" t="s">
        <v>29</v>
      </c>
      <c r="C38" s="88"/>
      <c r="D38" s="88"/>
      <c r="E38" s="88"/>
      <c r="F38" s="88"/>
      <c r="G38" s="88"/>
      <c r="H38" s="88"/>
      <c r="I38" s="88"/>
      <c r="J38" s="88"/>
      <c r="K38" s="88"/>
      <c r="L38" s="88"/>
      <c r="M38" s="88"/>
      <c r="N38" s="88"/>
      <c r="O38" s="88"/>
      <c r="P38" s="88"/>
      <c r="Q38" s="88"/>
      <c r="R38" s="89"/>
      <c r="S38" s="89"/>
      <c r="T38" s="88"/>
      <c r="U38" s="88"/>
      <c r="V38" s="88"/>
    </row>
    <row r="39" spans="1:22" ht="140.25">
      <c r="A39" s="25" t="s">
        <v>99</v>
      </c>
      <c r="B39" s="40" t="s">
        <v>100</v>
      </c>
      <c r="C39" s="25" t="s">
        <v>238</v>
      </c>
      <c r="D39" s="25" t="s">
        <v>239</v>
      </c>
      <c r="E39" s="25" t="s">
        <v>184</v>
      </c>
      <c r="F39" s="25" t="s">
        <v>101</v>
      </c>
      <c r="G39" s="45"/>
      <c r="H39" s="45"/>
      <c r="I39" s="25" t="s">
        <v>51</v>
      </c>
      <c r="J39" s="25" t="s">
        <v>7</v>
      </c>
      <c r="K39" s="25" t="s">
        <v>7</v>
      </c>
      <c r="L39" s="39"/>
      <c r="M39" s="39"/>
      <c r="N39" s="39"/>
      <c r="O39" s="39"/>
      <c r="P39" s="39"/>
      <c r="Q39" s="39"/>
      <c r="R39" s="39"/>
      <c r="S39" s="39"/>
      <c r="T39" s="39" t="s">
        <v>102</v>
      </c>
      <c r="U39" s="45"/>
      <c r="V39" s="25"/>
    </row>
    <row r="40" spans="1:22" ht="27">
      <c r="A40" s="45" t="s">
        <v>103</v>
      </c>
      <c r="B40" s="88" t="s">
        <v>104</v>
      </c>
      <c r="C40" s="88"/>
      <c r="D40" s="88"/>
      <c r="E40" s="88"/>
      <c r="F40" s="88"/>
      <c r="G40" s="88"/>
      <c r="H40" s="88"/>
      <c r="I40" s="88"/>
      <c r="J40" s="88"/>
      <c r="K40" s="88"/>
      <c r="L40" s="88"/>
      <c r="M40" s="88"/>
      <c r="N40" s="88"/>
      <c r="O40" s="88"/>
      <c r="P40" s="88"/>
      <c r="Q40" s="88"/>
      <c r="R40" s="34"/>
      <c r="S40" s="34"/>
      <c r="T40" s="35"/>
      <c r="U40" s="88"/>
      <c r="V40" s="88"/>
    </row>
    <row r="41" spans="1:22" ht="63.75">
      <c r="A41" s="25" t="s">
        <v>105</v>
      </c>
      <c r="B41" s="36" t="s">
        <v>106</v>
      </c>
      <c r="C41" s="46"/>
      <c r="D41" s="36"/>
      <c r="E41" s="90"/>
      <c r="F41" s="37"/>
      <c r="G41" s="37"/>
      <c r="H41" s="37"/>
      <c r="I41" s="37"/>
      <c r="J41" s="37"/>
      <c r="K41" s="37"/>
      <c r="L41" s="38"/>
      <c r="M41" s="38"/>
      <c r="N41" s="38"/>
      <c r="O41" s="38"/>
      <c r="P41" s="47"/>
      <c r="Q41" s="47"/>
      <c r="R41" s="38"/>
      <c r="S41" s="38"/>
      <c r="T41" s="39"/>
      <c r="U41" s="47"/>
      <c r="V41" s="91"/>
    </row>
    <row r="42" spans="1:22" ht="27">
      <c r="A42" s="45" t="s">
        <v>109</v>
      </c>
      <c r="B42" s="92" t="s">
        <v>26</v>
      </c>
      <c r="C42" s="92"/>
      <c r="D42" s="92"/>
      <c r="E42" s="92"/>
      <c r="F42" s="92"/>
      <c r="G42" s="92"/>
      <c r="H42" s="88"/>
      <c r="I42" s="88"/>
      <c r="J42" s="88"/>
      <c r="K42" s="88"/>
      <c r="L42" s="88"/>
      <c r="M42" s="88"/>
      <c r="N42" s="88"/>
      <c r="O42" s="88"/>
      <c r="P42" s="88"/>
      <c r="Q42" s="88"/>
      <c r="R42" s="34">
        <f>SUM(R43:R44)</f>
        <v>14880000</v>
      </c>
      <c r="S42" s="34">
        <f>SUM(S43:S44)</f>
        <v>16000000</v>
      </c>
      <c r="T42" s="35">
        <f t="shared" ref="T42:T44" si="2">S42/1000</f>
        <v>16000</v>
      </c>
      <c r="U42" s="88"/>
      <c r="V42" s="88"/>
    </row>
    <row r="43" spans="1:22" ht="114.75">
      <c r="A43" s="25" t="s">
        <v>110</v>
      </c>
      <c r="B43" s="36" t="s">
        <v>30</v>
      </c>
      <c r="C43" s="37" t="s">
        <v>63</v>
      </c>
      <c r="D43" s="43" t="s">
        <v>240</v>
      </c>
      <c r="E43" s="90" t="s">
        <v>111</v>
      </c>
      <c r="F43" s="37" t="s">
        <v>112</v>
      </c>
      <c r="G43" s="93"/>
      <c r="H43" s="37" t="s">
        <v>54</v>
      </c>
      <c r="I43" s="48" t="s">
        <v>51</v>
      </c>
      <c r="J43" s="48" t="s">
        <v>7</v>
      </c>
      <c r="K43" s="48" t="s">
        <v>7</v>
      </c>
      <c r="L43" s="38">
        <f>1000000*I43</f>
        <v>1000000</v>
      </c>
      <c r="M43" s="38">
        <f>10000*H43*I43*(J43+1)</f>
        <v>250000</v>
      </c>
      <c r="N43" s="38">
        <f>(150000*8*H43)*I43</f>
        <v>6000000</v>
      </c>
      <c r="O43" s="38">
        <f>10000*K43</f>
        <v>40000</v>
      </c>
      <c r="P43" s="38"/>
      <c r="Q43" s="38"/>
      <c r="R43" s="38">
        <f t="shared" ref="R43:R44" si="3">SUM(L43:Q43)</f>
        <v>7290000</v>
      </c>
      <c r="S43" s="38">
        <v>8000000</v>
      </c>
      <c r="T43" s="39">
        <f t="shared" si="2"/>
        <v>8000</v>
      </c>
      <c r="U43" s="37" t="s">
        <v>185</v>
      </c>
      <c r="V43" s="94"/>
    </row>
    <row r="44" spans="1:22" ht="114.75">
      <c r="A44" s="25" t="s">
        <v>113</v>
      </c>
      <c r="B44" s="36" t="s">
        <v>30</v>
      </c>
      <c r="C44" s="37" t="s">
        <v>218</v>
      </c>
      <c r="D44" s="43" t="s">
        <v>240</v>
      </c>
      <c r="E44" s="90" t="s">
        <v>114</v>
      </c>
      <c r="F44" s="37" t="s">
        <v>108</v>
      </c>
      <c r="G44" s="93"/>
      <c r="H44" s="37" t="s">
        <v>115</v>
      </c>
      <c r="I44" s="48" t="s">
        <v>51</v>
      </c>
      <c r="J44" s="48" t="s">
        <v>61</v>
      </c>
      <c r="K44" s="48" t="s">
        <v>61</v>
      </c>
      <c r="L44" s="38">
        <f>1000000*I44</f>
        <v>1000000</v>
      </c>
      <c r="M44" s="38">
        <f>10000*H44*I44*(J44+1)</f>
        <v>500000</v>
      </c>
      <c r="N44" s="38">
        <f>(150000*8*H44)*I44</f>
        <v>6000000</v>
      </c>
      <c r="O44" s="38">
        <f>10000*K44</f>
        <v>90000</v>
      </c>
      <c r="P44" s="38"/>
      <c r="Q44" s="38"/>
      <c r="R44" s="38">
        <f t="shared" si="3"/>
        <v>7590000</v>
      </c>
      <c r="S44" s="38">
        <v>8000000</v>
      </c>
      <c r="T44" s="39">
        <f t="shared" si="2"/>
        <v>8000</v>
      </c>
      <c r="U44" s="37" t="s">
        <v>186</v>
      </c>
      <c r="V44" s="93"/>
    </row>
    <row r="45" spans="1:22" ht="27">
      <c r="A45" s="45" t="s">
        <v>116</v>
      </c>
      <c r="B45" s="88" t="s">
        <v>117</v>
      </c>
      <c r="C45" s="88"/>
      <c r="D45" s="88"/>
      <c r="E45" s="88"/>
      <c r="F45" s="88"/>
      <c r="G45" s="88"/>
      <c r="H45" s="88"/>
      <c r="I45" s="88"/>
      <c r="J45" s="88"/>
      <c r="K45" s="88"/>
      <c r="L45" s="88"/>
      <c r="M45" s="88"/>
      <c r="N45" s="88"/>
      <c r="O45" s="88"/>
      <c r="P45" s="88"/>
      <c r="Q45" s="88"/>
      <c r="R45" s="88"/>
      <c r="S45" s="88"/>
      <c r="T45" s="88"/>
      <c r="U45" s="92"/>
      <c r="V45" s="92"/>
    </row>
    <row r="46" spans="1:22" ht="27">
      <c r="A46" s="45" t="s">
        <v>118</v>
      </c>
      <c r="B46" s="88" t="s">
        <v>119</v>
      </c>
      <c r="C46" s="88"/>
      <c r="D46" s="88"/>
      <c r="E46" s="88"/>
      <c r="F46" s="88"/>
      <c r="G46" s="88"/>
      <c r="H46" s="88"/>
      <c r="I46" s="88"/>
      <c r="J46" s="88"/>
      <c r="K46" s="88"/>
      <c r="L46" s="88"/>
      <c r="M46" s="88"/>
      <c r="N46" s="88"/>
      <c r="O46" s="88"/>
      <c r="P46" s="88"/>
      <c r="Q46" s="88"/>
      <c r="R46" s="88"/>
      <c r="S46" s="88"/>
      <c r="T46" s="88"/>
      <c r="U46" s="92"/>
      <c r="V46" s="92"/>
    </row>
    <row r="47" spans="1:22" ht="81">
      <c r="A47" s="45" t="s">
        <v>120</v>
      </c>
      <c r="B47" s="88" t="s">
        <v>121</v>
      </c>
      <c r="C47" s="88"/>
      <c r="D47" s="88"/>
      <c r="E47" s="88"/>
      <c r="F47" s="88"/>
      <c r="G47" s="88"/>
      <c r="H47" s="88"/>
      <c r="I47" s="88"/>
      <c r="J47" s="88"/>
      <c r="K47" s="88"/>
      <c r="L47" s="88"/>
      <c r="M47" s="88"/>
      <c r="N47" s="88"/>
      <c r="O47" s="88"/>
      <c r="P47" s="88"/>
      <c r="Q47" s="88"/>
      <c r="R47" s="34">
        <f>SUM(R48:R53)</f>
        <v>157680000</v>
      </c>
      <c r="S47" s="34">
        <f>SUM(S48:S53)</f>
        <v>158500000</v>
      </c>
      <c r="T47" s="35">
        <f t="shared" ref="T47:T53" si="4">S47/1000</f>
        <v>158500</v>
      </c>
      <c r="U47" s="92"/>
      <c r="V47" s="92"/>
    </row>
    <row r="48" spans="1:22" ht="267.75">
      <c r="A48" s="95" t="s">
        <v>122</v>
      </c>
      <c r="B48" s="96" t="s">
        <v>123</v>
      </c>
      <c r="C48" s="27">
        <v>0</v>
      </c>
      <c r="D48" s="27" t="s">
        <v>241</v>
      </c>
      <c r="E48" s="90" t="s">
        <v>124</v>
      </c>
      <c r="F48" s="37" t="s">
        <v>112</v>
      </c>
      <c r="G48" s="61"/>
      <c r="H48" s="49" t="s">
        <v>8</v>
      </c>
      <c r="I48" s="50" t="s">
        <v>50</v>
      </c>
      <c r="J48" s="50" t="s">
        <v>59</v>
      </c>
      <c r="K48" s="49" t="s">
        <v>66</v>
      </c>
      <c r="L48" s="51">
        <f t="shared" ref="L48:L52" si="5">1000000*I48</f>
        <v>2000000</v>
      </c>
      <c r="M48" s="51">
        <f t="shared" ref="M48:M53" si="6">10000*H48*I48*(J48+1)</f>
        <v>480000</v>
      </c>
      <c r="N48" s="51">
        <f>(150000*16)*I48</f>
        <v>4800000</v>
      </c>
      <c r="O48" s="38">
        <f>20000000*2</f>
        <v>40000000</v>
      </c>
      <c r="P48" s="38">
        <f>200000*H48*(J48+1)*I48</f>
        <v>9600000</v>
      </c>
      <c r="Q48" s="38">
        <f>1000000*2*I48*4</f>
        <v>16000000</v>
      </c>
      <c r="R48" s="38">
        <f t="shared" ref="R48:R51" si="7">SUM(L48:Q48)</f>
        <v>72880000</v>
      </c>
      <c r="S48" s="38">
        <v>85000000</v>
      </c>
      <c r="T48" s="39">
        <f t="shared" si="4"/>
        <v>85000</v>
      </c>
      <c r="U48" s="37" t="s">
        <v>187</v>
      </c>
      <c r="V48" s="30"/>
    </row>
    <row r="49" spans="1:22" ht="165.75">
      <c r="A49" s="95" t="s">
        <v>125</v>
      </c>
      <c r="B49" s="90" t="s">
        <v>126</v>
      </c>
      <c r="C49" s="27">
        <v>0</v>
      </c>
      <c r="D49" s="27" t="s">
        <v>242</v>
      </c>
      <c r="E49" s="90" t="s">
        <v>124</v>
      </c>
      <c r="F49" s="37" t="s">
        <v>112</v>
      </c>
      <c r="G49" s="52"/>
      <c r="H49" s="49" t="s">
        <v>8</v>
      </c>
      <c r="I49" s="48" t="s">
        <v>51</v>
      </c>
      <c r="J49" s="37" t="s">
        <v>52</v>
      </c>
      <c r="K49" s="37" t="s">
        <v>52</v>
      </c>
      <c r="L49" s="51">
        <f t="shared" si="5"/>
        <v>1000000</v>
      </c>
      <c r="M49" s="51">
        <f t="shared" si="6"/>
        <v>510000</v>
      </c>
      <c r="N49" s="51">
        <f t="shared" ref="N49:N53" si="8">(150000*8*H49)*I49</f>
        <v>3600000</v>
      </c>
      <c r="O49" s="38"/>
      <c r="P49" s="38"/>
      <c r="Q49" s="38">
        <f>M368*10</f>
        <v>0</v>
      </c>
      <c r="R49" s="38">
        <f t="shared" si="7"/>
        <v>5110000</v>
      </c>
      <c r="S49" s="38">
        <v>5200000</v>
      </c>
      <c r="T49" s="39">
        <f t="shared" si="4"/>
        <v>5200</v>
      </c>
      <c r="U49" s="37" t="s">
        <v>188</v>
      </c>
      <c r="V49" s="30"/>
    </row>
    <row r="50" spans="1:22" ht="204">
      <c r="A50" s="95" t="s">
        <v>127</v>
      </c>
      <c r="B50" s="90" t="s">
        <v>25</v>
      </c>
      <c r="C50" s="27">
        <v>0</v>
      </c>
      <c r="D50" s="27" t="s">
        <v>243</v>
      </c>
      <c r="E50" s="90" t="s">
        <v>111</v>
      </c>
      <c r="F50" s="37" t="s">
        <v>112</v>
      </c>
      <c r="G50" s="52"/>
      <c r="H50" s="37" t="s">
        <v>51</v>
      </c>
      <c r="I50" s="48" t="s">
        <v>51</v>
      </c>
      <c r="J50" s="37" t="s">
        <v>52</v>
      </c>
      <c r="K50" s="37" t="s">
        <v>52</v>
      </c>
      <c r="L50" s="51"/>
      <c r="M50" s="51">
        <f t="shared" si="6"/>
        <v>170000</v>
      </c>
      <c r="N50" s="51">
        <f t="shared" si="8"/>
        <v>1200000</v>
      </c>
      <c r="O50" s="38"/>
      <c r="P50" s="38"/>
      <c r="Q50" s="38">
        <v>0</v>
      </c>
      <c r="R50" s="38">
        <f t="shared" si="7"/>
        <v>1370000</v>
      </c>
      <c r="S50" s="38">
        <v>1400000</v>
      </c>
      <c r="T50" s="39">
        <f t="shared" si="4"/>
        <v>1400</v>
      </c>
      <c r="U50" s="37" t="s">
        <v>189</v>
      </c>
      <c r="V50" s="30"/>
    </row>
    <row r="51" spans="1:22" ht="140.25">
      <c r="A51" s="95" t="s">
        <v>128</v>
      </c>
      <c r="B51" s="90" t="s">
        <v>129</v>
      </c>
      <c r="C51" s="27">
        <v>0</v>
      </c>
      <c r="D51" s="27" t="s">
        <v>244</v>
      </c>
      <c r="E51" s="90" t="s">
        <v>111</v>
      </c>
      <c r="F51" s="37" t="s">
        <v>112</v>
      </c>
      <c r="G51" s="52"/>
      <c r="H51" s="37" t="s">
        <v>130</v>
      </c>
      <c r="I51" s="48" t="s">
        <v>51</v>
      </c>
      <c r="J51" s="37" t="s">
        <v>52</v>
      </c>
      <c r="K51" s="37" t="s">
        <v>52</v>
      </c>
      <c r="L51" s="51">
        <f t="shared" si="5"/>
        <v>1000000</v>
      </c>
      <c r="M51" s="51">
        <f t="shared" si="6"/>
        <v>680000</v>
      </c>
      <c r="N51" s="51">
        <f t="shared" si="8"/>
        <v>4800000</v>
      </c>
      <c r="O51" s="38"/>
      <c r="P51" s="38"/>
      <c r="Q51" s="38"/>
      <c r="R51" s="38">
        <f t="shared" si="7"/>
        <v>6480000</v>
      </c>
      <c r="S51" s="38">
        <v>5500000</v>
      </c>
      <c r="T51" s="39">
        <f t="shared" si="4"/>
        <v>5500</v>
      </c>
      <c r="U51" s="37" t="s">
        <v>190</v>
      </c>
      <c r="V51" s="97"/>
    </row>
    <row r="52" spans="1:22" ht="267.75">
      <c r="A52" s="95" t="s">
        <v>131</v>
      </c>
      <c r="B52" s="96" t="s">
        <v>132</v>
      </c>
      <c r="C52" s="27">
        <v>0</v>
      </c>
      <c r="D52" s="27" t="s">
        <v>245</v>
      </c>
      <c r="E52" s="90" t="s">
        <v>107</v>
      </c>
      <c r="F52" s="37" t="s">
        <v>108</v>
      </c>
      <c r="G52" s="52"/>
      <c r="H52" s="37" t="s">
        <v>8</v>
      </c>
      <c r="I52" s="48" t="s">
        <v>50</v>
      </c>
      <c r="J52" s="48" t="s">
        <v>60</v>
      </c>
      <c r="K52" s="37" t="s">
        <v>66</v>
      </c>
      <c r="L52" s="38">
        <f t="shared" si="5"/>
        <v>2000000</v>
      </c>
      <c r="M52" s="38">
        <f t="shared" si="6"/>
        <v>540000</v>
      </c>
      <c r="N52" s="38">
        <f t="shared" si="8"/>
        <v>7200000</v>
      </c>
      <c r="O52" s="38">
        <f>15000000*2</f>
        <v>30000000</v>
      </c>
      <c r="P52" s="38">
        <f>200000*H52*(J52+1)*I52</f>
        <v>10800000</v>
      </c>
      <c r="Q52" s="38">
        <f>1000000*5*2*I52</f>
        <v>20000000</v>
      </c>
      <c r="R52" s="38">
        <f>SUM(L52:Q52)</f>
        <v>70540000</v>
      </c>
      <c r="S52" s="38">
        <v>60000000</v>
      </c>
      <c r="T52" s="39">
        <f t="shared" si="4"/>
        <v>60000</v>
      </c>
      <c r="U52" s="90" t="s">
        <v>187</v>
      </c>
      <c r="V52" s="97"/>
    </row>
    <row r="53" spans="1:22" ht="204">
      <c r="A53" s="95" t="s">
        <v>134</v>
      </c>
      <c r="B53" s="29" t="s">
        <v>25</v>
      </c>
      <c r="C53" s="27">
        <v>0</v>
      </c>
      <c r="D53" s="27" t="s">
        <v>243</v>
      </c>
      <c r="E53" s="52" t="s">
        <v>107</v>
      </c>
      <c r="F53" s="52" t="s">
        <v>135</v>
      </c>
      <c r="G53" s="52"/>
      <c r="H53" s="98">
        <v>1</v>
      </c>
      <c r="I53" s="98">
        <v>1</v>
      </c>
      <c r="J53" s="98">
        <v>9</v>
      </c>
      <c r="K53" s="98">
        <v>9</v>
      </c>
      <c r="L53" s="38"/>
      <c r="M53" s="38">
        <f t="shared" si="6"/>
        <v>100000</v>
      </c>
      <c r="N53" s="38">
        <f t="shared" si="8"/>
        <v>1200000</v>
      </c>
      <c r="O53" s="38"/>
      <c r="P53" s="38"/>
      <c r="Q53" s="38"/>
      <c r="R53" s="38">
        <f>SUM(L53:Q53)</f>
        <v>1300000</v>
      </c>
      <c r="S53" s="38">
        <v>1400000</v>
      </c>
      <c r="T53" s="39">
        <f t="shared" si="4"/>
        <v>1400</v>
      </c>
      <c r="U53" s="37" t="s">
        <v>191</v>
      </c>
      <c r="V53" s="56"/>
    </row>
    <row r="54" spans="1:22">
      <c r="A54" s="45" t="s">
        <v>136</v>
      </c>
      <c r="B54" s="228" t="s">
        <v>137</v>
      </c>
      <c r="C54" s="228"/>
      <c r="D54" s="228"/>
      <c r="E54" s="228"/>
      <c r="F54" s="228"/>
      <c r="G54" s="228"/>
      <c r="H54" s="228"/>
      <c r="I54" s="228"/>
      <c r="J54" s="228"/>
      <c r="K54" s="228"/>
      <c r="L54" s="228"/>
      <c r="M54" s="228"/>
      <c r="N54" s="228"/>
      <c r="O54" s="228"/>
      <c r="P54" s="228"/>
      <c r="Q54" s="228"/>
      <c r="R54" s="228"/>
      <c r="S54" s="228"/>
      <c r="T54" s="228"/>
      <c r="U54" s="228"/>
      <c r="V54" s="228"/>
    </row>
    <row r="55" spans="1:22">
      <c r="A55" s="31" t="s">
        <v>138</v>
      </c>
      <c r="B55" s="229" t="s">
        <v>139</v>
      </c>
      <c r="C55" s="229"/>
      <c r="D55" s="229"/>
      <c r="E55" s="229"/>
      <c r="F55" s="229"/>
      <c r="G55" s="229"/>
      <c r="H55" s="229"/>
      <c r="I55" s="229"/>
      <c r="J55" s="229"/>
      <c r="K55" s="229"/>
      <c r="L55" s="229"/>
      <c r="M55" s="229"/>
      <c r="N55" s="229"/>
      <c r="O55" s="229"/>
      <c r="P55" s="229"/>
      <c r="Q55" s="229"/>
      <c r="R55" s="229"/>
      <c r="S55" s="229"/>
      <c r="T55" s="229"/>
      <c r="U55" s="229"/>
      <c r="V55" s="229"/>
    </row>
    <row r="56" spans="1:22">
      <c r="A56" s="31" t="s">
        <v>51</v>
      </c>
      <c r="B56" s="229" t="s">
        <v>140</v>
      </c>
      <c r="C56" s="229"/>
      <c r="D56" s="229"/>
      <c r="E56" s="229"/>
      <c r="F56" s="229"/>
      <c r="G56" s="229"/>
      <c r="H56" s="229"/>
      <c r="I56" s="229"/>
      <c r="J56" s="229"/>
      <c r="K56" s="229"/>
      <c r="L56" s="229"/>
      <c r="M56" s="229"/>
      <c r="N56" s="229"/>
      <c r="O56" s="229"/>
      <c r="P56" s="229"/>
      <c r="Q56" s="229"/>
      <c r="R56" s="229"/>
      <c r="S56" s="229"/>
      <c r="T56" s="229"/>
      <c r="U56" s="229"/>
      <c r="V56" s="229"/>
    </row>
    <row r="57" spans="1:22">
      <c r="A57" s="31" t="s">
        <v>50</v>
      </c>
      <c r="B57" s="229" t="s">
        <v>141</v>
      </c>
      <c r="C57" s="229"/>
      <c r="D57" s="229"/>
      <c r="E57" s="229"/>
      <c r="F57" s="229"/>
      <c r="G57" s="229"/>
      <c r="H57" s="229"/>
      <c r="I57" s="229"/>
      <c r="J57" s="229"/>
      <c r="K57" s="229"/>
      <c r="L57" s="229"/>
      <c r="M57" s="229"/>
      <c r="N57" s="229"/>
      <c r="O57" s="229"/>
      <c r="P57" s="229"/>
      <c r="Q57" s="229"/>
      <c r="R57" s="229"/>
      <c r="S57" s="229"/>
      <c r="T57" s="229"/>
      <c r="U57" s="229"/>
      <c r="V57" s="229"/>
    </row>
    <row r="58" spans="1:22">
      <c r="A58" s="31" t="s">
        <v>8</v>
      </c>
      <c r="B58" s="229" t="s">
        <v>142</v>
      </c>
      <c r="C58" s="229"/>
      <c r="D58" s="229"/>
      <c r="E58" s="229"/>
      <c r="F58" s="229"/>
      <c r="G58" s="229"/>
      <c r="H58" s="229"/>
      <c r="I58" s="229"/>
      <c r="J58" s="229"/>
      <c r="K58" s="229"/>
      <c r="L58" s="229"/>
      <c r="M58" s="229"/>
      <c r="N58" s="229"/>
      <c r="O58" s="229"/>
      <c r="P58" s="229"/>
      <c r="Q58" s="229"/>
      <c r="R58" s="229"/>
      <c r="S58" s="229"/>
      <c r="T58" s="229"/>
      <c r="U58" s="229"/>
      <c r="V58" s="229"/>
    </row>
    <row r="59" spans="1:22">
      <c r="A59" s="31" t="s">
        <v>143</v>
      </c>
      <c r="B59" s="229" t="s">
        <v>137</v>
      </c>
      <c r="C59" s="229"/>
      <c r="D59" s="229"/>
      <c r="E59" s="229"/>
      <c r="F59" s="229"/>
      <c r="G59" s="229"/>
      <c r="H59" s="229"/>
      <c r="I59" s="229"/>
      <c r="J59" s="229"/>
      <c r="K59" s="229"/>
      <c r="L59" s="229"/>
      <c r="M59" s="229"/>
      <c r="N59" s="229"/>
      <c r="O59" s="229"/>
      <c r="P59" s="229"/>
      <c r="Q59" s="229"/>
      <c r="R59" s="229"/>
      <c r="S59" s="229"/>
      <c r="T59" s="229"/>
      <c r="U59" s="229"/>
      <c r="V59" s="229"/>
    </row>
    <row r="60" spans="1:22">
      <c r="A60" s="31" t="s">
        <v>57</v>
      </c>
      <c r="B60" s="227" t="s">
        <v>144</v>
      </c>
      <c r="C60" s="227"/>
      <c r="D60" s="227"/>
      <c r="E60" s="227"/>
      <c r="F60" s="227"/>
      <c r="G60" s="227"/>
      <c r="H60" s="227"/>
      <c r="I60" s="227"/>
      <c r="J60" s="227"/>
      <c r="K60" s="227"/>
      <c r="L60" s="227"/>
      <c r="M60" s="227"/>
      <c r="N60" s="227"/>
      <c r="O60" s="227"/>
      <c r="P60" s="227"/>
      <c r="Q60" s="227"/>
      <c r="R60" s="227"/>
      <c r="S60" s="227"/>
      <c r="T60" s="227"/>
      <c r="U60" s="227"/>
      <c r="V60" s="227"/>
    </row>
    <row r="61" spans="1:22">
      <c r="A61" s="31" t="s">
        <v>1</v>
      </c>
      <c r="B61" s="227" t="s">
        <v>56</v>
      </c>
      <c r="C61" s="227"/>
      <c r="D61" s="227"/>
      <c r="E61" s="227"/>
      <c r="F61" s="227"/>
      <c r="G61" s="227"/>
      <c r="H61" s="227"/>
      <c r="I61" s="227"/>
      <c r="J61" s="227"/>
      <c r="K61" s="227"/>
      <c r="L61" s="227"/>
      <c r="M61" s="227"/>
      <c r="N61" s="227"/>
      <c r="O61" s="227"/>
      <c r="P61" s="227"/>
      <c r="Q61" s="227"/>
      <c r="R61" s="227"/>
      <c r="S61" s="227"/>
      <c r="T61" s="227"/>
      <c r="U61" s="227"/>
      <c r="V61" s="227"/>
    </row>
    <row r="62" spans="1:22" ht="306">
      <c r="A62" s="25" t="s">
        <v>51</v>
      </c>
      <c r="B62" s="40" t="s">
        <v>203</v>
      </c>
      <c r="C62" s="31" t="s">
        <v>218</v>
      </c>
      <c r="D62" s="99" t="s">
        <v>246</v>
      </c>
      <c r="E62" s="25" t="s">
        <v>179</v>
      </c>
      <c r="F62" s="31" t="s">
        <v>204</v>
      </c>
      <c r="G62" s="44" t="s">
        <v>205</v>
      </c>
      <c r="H62" s="25" t="s">
        <v>115</v>
      </c>
      <c r="I62" s="25" t="s">
        <v>51</v>
      </c>
      <c r="J62" s="25" t="s">
        <v>50</v>
      </c>
      <c r="K62" s="25" t="s">
        <v>50</v>
      </c>
      <c r="L62" s="44"/>
      <c r="M62" s="44"/>
      <c r="N62" s="44"/>
      <c r="O62" s="44"/>
      <c r="P62" s="44"/>
      <c r="Q62" s="44"/>
      <c r="R62" s="44"/>
      <c r="S62" s="44"/>
      <c r="T62" s="44"/>
      <c r="U62" s="25" t="s">
        <v>147</v>
      </c>
      <c r="V62" s="59" t="s">
        <v>206</v>
      </c>
    </row>
    <row r="63" spans="1:22" ht="280.5">
      <c r="A63" s="25" t="s">
        <v>50</v>
      </c>
      <c r="B63" s="40" t="s">
        <v>247</v>
      </c>
      <c r="C63" s="25" t="s">
        <v>218</v>
      </c>
      <c r="D63" s="100" t="s">
        <v>248</v>
      </c>
      <c r="E63" s="25" t="s">
        <v>207</v>
      </c>
      <c r="F63" s="25" t="s">
        <v>145</v>
      </c>
      <c r="G63" s="25"/>
      <c r="H63" s="25" t="s">
        <v>146</v>
      </c>
      <c r="I63" s="53" t="s">
        <v>51</v>
      </c>
      <c r="J63" s="53" t="s">
        <v>54</v>
      </c>
      <c r="K63" s="53" t="s">
        <v>54</v>
      </c>
      <c r="L63" s="53"/>
      <c r="M63" s="53"/>
      <c r="N63" s="53"/>
      <c r="O63" s="53"/>
      <c r="P63" s="53"/>
      <c r="Q63" s="53"/>
      <c r="R63" s="94"/>
      <c r="S63" s="94"/>
      <c r="T63" s="25"/>
      <c r="U63" s="25" t="s">
        <v>147</v>
      </c>
      <c r="V63" s="60" t="s">
        <v>148</v>
      </c>
    </row>
    <row r="64" spans="1:22" ht="293.25">
      <c r="A64" s="101">
        <v>3</v>
      </c>
      <c r="B64" s="54" t="s">
        <v>149</v>
      </c>
      <c r="C64" s="101">
        <v>0</v>
      </c>
      <c r="D64" s="100" t="s">
        <v>249</v>
      </c>
      <c r="E64" s="26" t="s">
        <v>87</v>
      </c>
      <c r="F64" s="25" t="s">
        <v>145</v>
      </c>
      <c r="G64" s="26"/>
      <c r="H64" s="102">
        <v>15</v>
      </c>
      <c r="I64" s="102">
        <v>1</v>
      </c>
      <c r="J64" s="101">
        <v>5</v>
      </c>
      <c r="K64" s="101">
        <v>5</v>
      </c>
      <c r="L64" s="101"/>
      <c r="M64" s="101"/>
      <c r="N64" s="101"/>
      <c r="O64" s="101"/>
      <c r="P64" s="101"/>
      <c r="Q64" s="101"/>
      <c r="R64" s="101"/>
      <c r="S64" s="101"/>
      <c r="T64" s="25"/>
      <c r="U64" s="25" t="s">
        <v>147</v>
      </c>
      <c r="V64" s="59" t="s">
        <v>208</v>
      </c>
    </row>
    <row r="65" spans="1:22" ht="153">
      <c r="A65" s="101">
        <v>4</v>
      </c>
      <c r="B65" s="103" t="s">
        <v>150</v>
      </c>
      <c r="C65" s="101">
        <v>0</v>
      </c>
      <c r="D65" s="104" t="s">
        <v>250</v>
      </c>
      <c r="E65" s="26" t="s">
        <v>209</v>
      </c>
      <c r="F65" s="26" t="s">
        <v>151</v>
      </c>
      <c r="G65" s="26"/>
      <c r="H65" s="102" t="s">
        <v>115</v>
      </c>
      <c r="I65" s="102">
        <v>2</v>
      </c>
      <c r="J65" s="102">
        <v>3</v>
      </c>
      <c r="K65" s="102">
        <v>6</v>
      </c>
      <c r="L65" s="102"/>
      <c r="M65" s="102"/>
      <c r="N65" s="102"/>
      <c r="O65" s="102"/>
      <c r="P65" s="102"/>
      <c r="Q65" s="102"/>
      <c r="R65" s="94"/>
      <c r="S65" s="94"/>
      <c r="T65" s="25"/>
      <c r="U65" s="25" t="s">
        <v>152</v>
      </c>
      <c r="V65" s="60" t="s">
        <v>153</v>
      </c>
    </row>
    <row r="66" spans="1:22" ht="409.5">
      <c r="A66" s="101">
        <v>5</v>
      </c>
      <c r="B66" s="40" t="s">
        <v>210</v>
      </c>
      <c r="C66" s="101">
        <v>0</v>
      </c>
      <c r="D66" s="26" t="s">
        <v>251</v>
      </c>
      <c r="E66" s="101" t="s">
        <v>211</v>
      </c>
      <c r="F66" s="25" t="s">
        <v>154</v>
      </c>
      <c r="G66" s="101"/>
      <c r="H66" s="101">
        <v>15</v>
      </c>
      <c r="I66" s="102">
        <v>1</v>
      </c>
      <c r="J66" s="102">
        <v>5</v>
      </c>
      <c r="K66" s="102">
        <v>5</v>
      </c>
      <c r="L66" s="102"/>
      <c r="M66" s="102"/>
      <c r="N66" s="102"/>
      <c r="O66" s="102"/>
      <c r="P66" s="102"/>
      <c r="Q66" s="102"/>
      <c r="R66" s="94"/>
      <c r="S66" s="94"/>
      <c r="T66" s="25"/>
      <c r="U66" s="25" t="s">
        <v>152</v>
      </c>
      <c r="V66" s="60" t="s">
        <v>155</v>
      </c>
    </row>
    <row r="67" spans="1:22" ht="140.25">
      <c r="A67" s="101">
        <v>6</v>
      </c>
      <c r="B67" s="55" t="s">
        <v>156</v>
      </c>
      <c r="C67" s="101">
        <v>0</v>
      </c>
      <c r="D67" s="99" t="s">
        <v>252</v>
      </c>
      <c r="E67" s="26" t="s">
        <v>192</v>
      </c>
      <c r="F67" s="25" t="s">
        <v>157</v>
      </c>
      <c r="G67" s="101"/>
      <c r="H67" s="101">
        <v>3</v>
      </c>
      <c r="I67" s="102">
        <v>1</v>
      </c>
      <c r="J67" s="102">
        <v>5</v>
      </c>
      <c r="K67" s="102">
        <v>5</v>
      </c>
      <c r="L67" s="102"/>
      <c r="M67" s="102"/>
      <c r="N67" s="102"/>
      <c r="O67" s="102"/>
      <c r="P67" s="102"/>
      <c r="Q67" s="102"/>
      <c r="R67" s="94"/>
      <c r="S67" s="94"/>
      <c r="T67" s="25"/>
      <c r="U67" s="25" t="s">
        <v>152</v>
      </c>
      <c r="V67" s="60" t="s">
        <v>158</v>
      </c>
    </row>
    <row r="68" spans="1:22" ht="357">
      <c r="A68" s="101">
        <v>7</v>
      </c>
      <c r="B68" s="55" t="s">
        <v>159</v>
      </c>
      <c r="C68" s="101">
        <v>0</v>
      </c>
      <c r="D68" s="26" t="s">
        <v>253</v>
      </c>
      <c r="E68" s="26" t="s">
        <v>212</v>
      </c>
      <c r="F68" s="25" t="s">
        <v>213</v>
      </c>
      <c r="G68" s="101"/>
      <c r="H68" s="102">
        <v>5</v>
      </c>
      <c r="I68" s="102">
        <v>2</v>
      </c>
      <c r="J68" s="102">
        <v>5</v>
      </c>
      <c r="K68" s="102">
        <v>5</v>
      </c>
      <c r="L68" s="102"/>
      <c r="M68" s="102"/>
      <c r="N68" s="102"/>
      <c r="O68" s="102"/>
      <c r="P68" s="102"/>
      <c r="Q68" s="102"/>
      <c r="R68" s="94"/>
      <c r="S68" s="94"/>
      <c r="T68" s="25"/>
      <c r="U68" s="25" t="s">
        <v>152</v>
      </c>
      <c r="V68" s="60" t="s">
        <v>160</v>
      </c>
    </row>
  </sheetData>
  <mergeCells count="42">
    <mergeCell ref="U22:U29"/>
    <mergeCell ref="B60:V60"/>
    <mergeCell ref="B61:V61"/>
    <mergeCell ref="B54:V54"/>
    <mergeCell ref="B55:V55"/>
    <mergeCell ref="B56:V56"/>
    <mergeCell ref="B57:V57"/>
    <mergeCell ref="B58:V58"/>
    <mergeCell ref="B59:V59"/>
    <mergeCell ref="B36:V36"/>
    <mergeCell ref="M13:M14"/>
    <mergeCell ref="N13:N14"/>
    <mergeCell ref="O13:O14"/>
    <mergeCell ref="P13:Q13"/>
    <mergeCell ref="I22:I29"/>
    <mergeCell ref="H13:H14"/>
    <mergeCell ref="I13:I14"/>
    <mergeCell ref="J13:J14"/>
    <mergeCell ref="K13:K14"/>
    <mergeCell ref="L13:L14"/>
    <mergeCell ref="T13:T14"/>
    <mergeCell ref="U13:U14"/>
    <mergeCell ref="V13:V14"/>
    <mergeCell ref="A8:R8"/>
    <mergeCell ref="A9:U9"/>
    <mergeCell ref="A10:V10"/>
    <mergeCell ref="A11:C11"/>
    <mergeCell ref="J11:V11"/>
    <mergeCell ref="A13:A14"/>
    <mergeCell ref="B13:B14"/>
    <mergeCell ref="C13:C14"/>
    <mergeCell ref="D13:D14"/>
    <mergeCell ref="E13:E14"/>
    <mergeCell ref="R13:R14"/>
    <mergeCell ref="F13:F14"/>
    <mergeCell ref="G13:G14"/>
    <mergeCell ref="A7:V7"/>
    <mergeCell ref="A1:V2"/>
    <mergeCell ref="A3:V3"/>
    <mergeCell ref="A4:U4"/>
    <mergeCell ref="A5:V5"/>
    <mergeCell ref="A6:V6"/>
  </mergeCells>
  <hyperlinks>
    <hyperlink ref="V65" r:id="rId1" xr:uid="{00000000-0004-0000-1100-000000000000}"/>
    <hyperlink ref="V66" r:id="rId2" xr:uid="{00000000-0004-0000-1100-000001000000}"/>
    <hyperlink ref="V67" r:id="rId3" xr:uid="{00000000-0004-0000-1100-000002000000}"/>
    <hyperlink ref="V68" r:id="rId4" xr:uid="{00000000-0004-0000-1100-000003000000}"/>
    <hyperlink ref="B28" r:id="rId5" display="https://vanphongdientu.vatm.vn/modules/workflow/incctl.aspx?doc_action=8&amp;DocumentID=450775" xr:uid="{00000000-0004-0000-1100-000004000000}"/>
    <hyperlink ref="V62" r:id="rId6" display="https://igat.icao.int/ated/TrainingCatalogue/Course/5613" xr:uid="{00000000-0004-0000-1100-000005000000}"/>
    <hyperlink ref="V63" r:id="rId7" xr:uid="{00000000-0004-0000-1100-000006000000}"/>
    <hyperlink ref="V64" r:id="rId8" display="https://igat.icao.int/ated/TrainingCatalogue/Course/3" xr:uid="{00000000-0004-0000-1100-000007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41"/>
  <sheetViews>
    <sheetView workbookViewId="0">
      <selection activeCell="C1" sqref="C1"/>
    </sheetView>
  </sheetViews>
  <sheetFormatPr defaultColWidth="8" defaultRowHeight="12.75"/>
  <cols>
    <col min="1" max="1" width="26.21875" style="1" customWidth="1"/>
    <col min="2" max="2" width="1.21875" style="1" customWidth="1"/>
    <col min="3" max="3" width="28.21875" style="1" customWidth="1"/>
    <col min="4" max="16384" width="8" style="1"/>
  </cols>
  <sheetData>
    <row r="1" spans="1:3" ht="15">
      <c r="A1" s="2"/>
      <c r="C1" s="2"/>
    </row>
    <row r="2" spans="1:3" ht="15.75" thickBot="1">
      <c r="A2" s="2"/>
    </row>
    <row r="3" spans="1:3" ht="15.75" thickBot="1">
      <c r="A3" s="2"/>
      <c r="C3" s="2"/>
    </row>
    <row r="4" spans="1:3" ht="15">
      <c r="A4" s="2"/>
      <c r="C4" s="2"/>
    </row>
    <row r="5" spans="1:3" ht="15">
      <c r="C5" s="2"/>
    </row>
    <row r="6" spans="1:3" ht="15.75" thickBot="1">
      <c r="C6" s="2"/>
    </row>
    <row r="7" spans="1:3" ht="15">
      <c r="A7" s="2"/>
      <c r="C7" s="2"/>
    </row>
    <row r="8" spans="1:3" ht="15">
      <c r="A8" s="2"/>
      <c r="C8" s="2"/>
    </row>
    <row r="9" spans="1:3" ht="15">
      <c r="A9" s="2"/>
      <c r="C9" s="2"/>
    </row>
    <row r="10" spans="1:3" ht="15">
      <c r="A10" s="2"/>
      <c r="C10" s="2"/>
    </row>
    <row r="11" spans="1:3" ht="15.75" thickBot="1">
      <c r="A11" s="2"/>
      <c r="C11" s="2"/>
    </row>
    <row r="12" spans="1:3" ht="15">
      <c r="C12" s="2"/>
    </row>
    <row r="13" spans="1:3" ht="15.75" thickBot="1">
      <c r="C13" s="2"/>
    </row>
    <row r="14" spans="1:3" ht="15.75" thickBot="1">
      <c r="A14" s="2"/>
      <c r="C14" s="2"/>
    </row>
    <row r="15" spans="1:3" ht="15">
      <c r="A15" s="2"/>
    </row>
    <row r="16" spans="1:3" ht="15.75" thickBot="1">
      <c r="A16" s="2"/>
    </row>
    <row r="17" spans="1:3" ht="15.75" thickBot="1">
      <c r="A17" s="2"/>
      <c r="C17" s="2"/>
    </row>
    <row r="18" spans="1:3" ht="15">
      <c r="C18" s="2"/>
    </row>
    <row r="19" spans="1:3" ht="15">
      <c r="C19" s="2"/>
    </row>
    <row r="20" spans="1:3" ht="15">
      <c r="A20" s="2"/>
      <c r="C20" s="2"/>
    </row>
    <row r="21" spans="1:3" ht="15">
      <c r="A21" s="2"/>
      <c r="C21" s="2"/>
    </row>
    <row r="22" spans="1:3" ht="15">
      <c r="A22" s="2"/>
      <c r="C22" s="2"/>
    </row>
    <row r="23" spans="1:3" ht="15">
      <c r="A23" s="2"/>
      <c r="C23" s="2"/>
    </row>
    <row r="24" spans="1:3" ht="15">
      <c r="A24" s="2"/>
    </row>
    <row r="25" spans="1:3" ht="15">
      <c r="A25" s="2"/>
    </row>
    <row r="26" spans="1:3" ht="15.75" thickBot="1">
      <c r="A26" s="2"/>
      <c r="C26" s="2"/>
    </row>
    <row r="27" spans="1:3" ht="15">
      <c r="A27" s="2"/>
      <c r="C27" s="2"/>
    </row>
    <row r="28" spans="1:3" ht="15">
      <c r="A28" s="2"/>
      <c r="C28" s="2"/>
    </row>
    <row r="29" spans="1:3" ht="15">
      <c r="A29" s="2"/>
      <c r="C29" s="2"/>
    </row>
    <row r="30" spans="1:3" ht="15">
      <c r="A30" s="2"/>
      <c r="C30" s="2"/>
    </row>
    <row r="31" spans="1:3" ht="15">
      <c r="A31" s="2"/>
      <c r="C31" s="2"/>
    </row>
    <row r="32" spans="1:3" ht="15">
      <c r="A32" s="2"/>
      <c r="C32" s="2"/>
    </row>
    <row r="33" spans="1:3" ht="15">
      <c r="A33" s="2"/>
      <c r="C33" s="2"/>
    </row>
    <row r="34" spans="1:3" ht="15">
      <c r="A34" s="2"/>
      <c r="C34" s="2"/>
    </row>
    <row r="35" spans="1:3" ht="15">
      <c r="A35" s="2"/>
      <c r="C35" s="2"/>
    </row>
    <row r="36" spans="1:3" ht="15">
      <c r="A36" s="2"/>
      <c r="C36" s="2"/>
    </row>
    <row r="37" spans="1:3" ht="15">
      <c r="A37" s="2"/>
    </row>
    <row r="38" spans="1:3" ht="15">
      <c r="A38" s="2"/>
    </row>
    <row r="39" spans="1:3" ht="15">
      <c r="A39" s="2"/>
      <c r="C39" s="2"/>
    </row>
    <row r="40" spans="1:3" ht="15">
      <c r="A40" s="2"/>
      <c r="C40" s="2"/>
    </row>
    <row r="41" spans="1:3" ht="15">
      <c r="A41" s="2"/>
      <c r="C41" s="2"/>
    </row>
  </sheetData>
  <sheetProtection password="8863" sheet="1" objects="1"/>
  <phoneticPr fontId="0" type="noConversion"/>
  <pageMargins left="0.75" right="0.75" top="1" bottom="1" header="0.5" footer="0.5"/>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41"/>
  <sheetViews>
    <sheetView workbookViewId="0">
      <selection activeCell="C1" sqref="C1"/>
    </sheetView>
  </sheetViews>
  <sheetFormatPr defaultColWidth="7" defaultRowHeight="12.75"/>
  <cols>
    <col min="1" max="1" width="22.77734375" style="1" customWidth="1"/>
    <col min="2" max="2" width="1" style="1" customWidth="1"/>
    <col min="3" max="3" width="24.44140625" style="1" customWidth="1"/>
    <col min="4" max="16384" width="7" style="1"/>
  </cols>
  <sheetData>
    <row r="1" spans="1:3" ht="15">
      <c r="A1" s="3"/>
      <c r="C1" s="3"/>
    </row>
    <row r="2" spans="1:3" ht="15.75" thickBot="1">
      <c r="A2" s="3"/>
    </row>
    <row r="3" spans="1:3" ht="15.75" thickBot="1">
      <c r="A3" s="3"/>
      <c r="C3" s="3"/>
    </row>
    <row r="4" spans="1:3" ht="15">
      <c r="A4" s="3"/>
      <c r="C4" s="3"/>
    </row>
    <row r="5" spans="1:3" ht="15">
      <c r="C5" s="3"/>
    </row>
    <row r="6" spans="1:3" ht="15.75" thickBot="1">
      <c r="C6" s="3"/>
    </row>
    <row r="7" spans="1:3" ht="15">
      <c r="A7" s="3"/>
      <c r="C7" s="3"/>
    </row>
    <row r="8" spans="1:3" ht="15">
      <c r="A8" s="3"/>
      <c r="C8" s="3"/>
    </row>
    <row r="9" spans="1:3" ht="15">
      <c r="A9" s="3"/>
      <c r="C9" s="3"/>
    </row>
    <row r="10" spans="1:3" ht="15">
      <c r="A10" s="3"/>
      <c r="C10" s="3"/>
    </row>
    <row r="11" spans="1:3" ht="15.75" thickBot="1">
      <c r="A11" s="3"/>
      <c r="C11" s="3"/>
    </row>
    <row r="12" spans="1:3" ht="15">
      <c r="C12" s="3"/>
    </row>
    <row r="13" spans="1:3" ht="15.75" thickBot="1">
      <c r="C13" s="3"/>
    </row>
    <row r="14" spans="1:3" ht="15.75" thickBot="1">
      <c r="A14" s="3"/>
      <c r="C14" s="3"/>
    </row>
    <row r="15" spans="1:3" ht="15">
      <c r="A15" s="3"/>
    </row>
    <row r="16" spans="1:3" ht="15.75" thickBot="1">
      <c r="A16" s="3"/>
    </row>
    <row r="17" spans="1:3" ht="15.75" thickBot="1">
      <c r="A17" s="3"/>
      <c r="C17" s="3"/>
    </row>
    <row r="18" spans="1:3" ht="15">
      <c r="C18" s="3"/>
    </row>
    <row r="19" spans="1:3" ht="15">
      <c r="C19" s="3"/>
    </row>
    <row r="20" spans="1:3" ht="15">
      <c r="A20" s="3"/>
      <c r="C20" s="3"/>
    </row>
    <row r="21" spans="1:3" ht="15">
      <c r="A21" s="3"/>
      <c r="C21" s="3"/>
    </row>
    <row r="22" spans="1:3" ht="15">
      <c r="A22" s="3"/>
      <c r="C22" s="3"/>
    </row>
    <row r="23" spans="1:3" ht="15">
      <c r="A23" s="3"/>
      <c r="C23" s="3"/>
    </row>
    <row r="24" spans="1:3" ht="15">
      <c r="A24" s="3"/>
    </row>
    <row r="25" spans="1:3" ht="15">
      <c r="A25" s="3"/>
    </row>
    <row r="26" spans="1:3" ht="15.75" thickBot="1">
      <c r="A26" s="3"/>
      <c r="C26" s="3"/>
    </row>
    <row r="27" spans="1:3" ht="15">
      <c r="A27" s="3"/>
      <c r="C27" s="3"/>
    </row>
    <row r="28" spans="1:3" ht="15">
      <c r="A28" s="3"/>
      <c r="C28" s="3"/>
    </row>
    <row r="29" spans="1:3" ht="15">
      <c r="A29" s="3"/>
      <c r="C29" s="3"/>
    </row>
    <row r="30" spans="1:3" ht="15">
      <c r="A30" s="3"/>
      <c r="C30" s="3"/>
    </row>
    <row r="31" spans="1:3" ht="15">
      <c r="A31" s="3"/>
      <c r="C31" s="3"/>
    </row>
    <row r="32" spans="1:3" ht="15">
      <c r="A32" s="3"/>
      <c r="C32" s="3"/>
    </row>
    <row r="33" spans="1:3" ht="15">
      <c r="A33" s="3"/>
      <c r="C33" s="3"/>
    </row>
    <row r="34" spans="1:3" ht="15">
      <c r="A34" s="3"/>
      <c r="C34" s="3"/>
    </row>
    <row r="35" spans="1:3" ht="15">
      <c r="A35" s="3"/>
      <c r="C35" s="3"/>
    </row>
    <row r="36" spans="1:3" ht="15">
      <c r="A36" s="3"/>
      <c r="C36" s="3"/>
    </row>
    <row r="37" spans="1:3" ht="15">
      <c r="A37" s="3"/>
    </row>
    <row r="38" spans="1:3" ht="15">
      <c r="A38" s="3"/>
    </row>
    <row r="39" spans="1:3" ht="15">
      <c r="A39" s="3"/>
      <c r="C39" s="3"/>
    </row>
    <row r="40" spans="1:3" ht="15">
      <c r="A40" s="3"/>
      <c r="C40" s="3"/>
    </row>
    <row r="41" spans="1:3" ht="15">
      <c r="A41" s="3"/>
      <c r="C41" s="3"/>
    </row>
  </sheetData>
  <sheetProtection password="8863" sheet="1" objects="1"/>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foxz</vt:lpstr>
      <vt:lpstr>Sheet1</vt:lpstr>
      <vt:lpstr>Sheet4</vt:lpstr>
      <vt:lpstr>PL 1.6.3 Bảo dưỡng thuê ngoài</vt:lpstr>
      <vt:lpstr>Sheet2</vt:lpstr>
      <vt:lpstr>ĐTHL</vt:lpstr>
      <vt:lpstr>Sheet6</vt:lpstr>
      <vt:lpstr>ĐTHL!Print_Area</vt:lpstr>
      <vt:lpstr>'PL 1.6.3 Bảo dưỡng thuê ngoài'!Print_Area</vt:lpstr>
      <vt:lpstr>ĐTHL!Print_Titles</vt:lpstr>
      <vt:lpstr>'PL 1.6.3 Bảo dưỡng thuê ngoài'!Print_Titles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PKH</dc:creator>
  <cp:lastModifiedBy>Administrator</cp:lastModifiedBy>
  <cp:lastPrinted>2026-09-15T08:25:58Z</cp:lastPrinted>
  <dcterms:created xsi:type="dcterms:W3CDTF">2000-10-05T02:01:34Z</dcterms:created>
  <dcterms:modified xsi:type="dcterms:W3CDTF">2026-09-15T08:26:56Z</dcterms:modified>
</cp:coreProperties>
</file>