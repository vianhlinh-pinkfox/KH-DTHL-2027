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7"/>
  <workbookPr defaultThemeVersion="166925"/>
  <mc:AlternateContent xmlns:mc="http://schemas.openxmlformats.org/markup-compatibility/2006">
    <mc:Choice Requires="x15">
      <x15ac:absPath xmlns:x15ac="http://schemas.microsoft.com/office/spreadsheetml/2010/11/ac" url="D:\Thang Tccb\D\Thang\Huan luyen dao tao\Năm 2027\Kế hoạch ĐTHL\"/>
    </mc:Choice>
  </mc:AlternateContent>
  <xr:revisionPtr revIDLastSave="0" documentId="13_ncr:1_{E66F9039-FF37-40C1-9EB9-1E80A9F1776D}" xr6:coauthVersionLast="36" xr6:coauthVersionMax="47" xr10:uidLastSave="{00000000-0000-0000-0000-000000000000}"/>
  <bookViews>
    <workbookView xWindow="0" yWindow="0" windowWidth="15360" windowHeight="7545" tabRatio="824" xr2:uid="{CFEF08D8-B48E-40AE-9978-A8301DF68507}"/>
  </bookViews>
  <sheets>
    <sheet name="TỔNG HỢP KH ĐTHL 2027" sheetId="1" r:id="rId1"/>
    <sheet name="Sheet1" sheetId="16" r:id="rId2"/>
  </sheets>
  <definedNames>
    <definedName name="_xlnm.Print_Titles" localSheetId="0">'TỔNG HỢP KH ĐTHL 2027'!$5:$6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9" i="1" l="1"/>
  <c r="L20" i="1"/>
  <c r="L21" i="1"/>
  <c r="L22" i="1"/>
  <c r="L23" i="1"/>
  <c r="L14" i="1"/>
  <c r="J16" i="1" l="1"/>
  <c r="L24" i="1"/>
  <c r="L25" i="1"/>
  <c r="K29" i="1" l="1"/>
  <c r="J29" i="1"/>
  <c r="I29" i="1"/>
  <c r="H29" i="1"/>
  <c r="G29" i="1"/>
  <c r="L32" i="1"/>
  <c r="G26" i="1" l="1"/>
  <c r="H26" i="1"/>
  <c r="I26" i="1"/>
  <c r="J26" i="1"/>
  <c r="K26" i="1"/>
  <c r="L27" i="1"/>
  <c r="L26" i="1" s="1"/>
  <c r="H102" i="1"/>
  <c r="J54" i="1"/>
  <c r="K54" i="1"/>
  <c r="H100" i="1"/>
  <c r="I100" i="1"/>
  <c r="G100" i="1"/>
  <c r="H96" i="1"/>
  <c r="I96" i="1"/>
  <c r="G96" i="1"/>
  <c r="H93" i="1"/>
  <c r="I93" i="1"/>
  <c r="G93" i="1"/>
  <c r="H90" i="1"/>
  <c r="I90" i="1"/>
  <c r="G90" i="1"/>
  <c r="H87" i="1"/>
  <c r="I87" i="1"/>
  <c r="G87" i="1"/>
  <c r="H83" i="1"/>
  <c r="I83" i="1"/>
  <c r="G83" i="1"/>
  <c r="H73" i="1"/>
  <c r="I73" i="1"/>
  <c r="G73" i="1"/>
  <c r="H65" i="1"/>
  <c r="I65" i="1"/>
  <c r="G65" i="1"/>
  <c r="H61" i="1"/>
  <c r="I61" i="1"/>
  <c r="G61" i="1"/>
  <c r="H58" i="1"/>
  <c r="I58" i="1"/>
  <c r="G58" i="1"/>
  <c r="I103" i="1"/>
  <c r="G103" i="1"/>
  <c r="L56" i="1"/>
  <c r="L55" i="1"/>
  <c r="I54" i="1"/>
  <c r="H54" i="1"/>
  <c r="G54" i="1"/>
  <c r="G9" i="1" s="1"/>
  <c r="L53" i="1"/>
  <c r="L52" i="1"/>
  <c r="L51" i="1"/>
  <c r="L50" i="1"/>
  <c r="L49" i="1"/>
  <c r="K48" i="1"/>
  <c r="K44" i="1" s="1"/>
  <c r="J48" i="1"/>
  <c r="J44" i="1" s="1"/>
  <c r="I48" i="1"/>
  <c r="I44" i="1" s="1"/>
  <c r="H48" i="1"/>
  <c r="H44" i="1" s="1"/>
  <c r="G48" i="1"/>
  <c r="G44" i="1" s="1"/>
  <c r="L47" i="1"/>
  <c r="L46" i="1"/>
  <c r="L45" i="1"/>
  <c r="L43" i="1"/>
  <c r="L42" i="1"/>
  <c r="L41" i="1"/>
  <c r="L40" i="1"/>
  <c r="K39" i="1"/>
  <c r="K33" i="1" s="1"/>
  <c r="J39" i="1"/>
  <c r="J33" i="1" s="1"/>
  <c r="I39" i="1"/>
  <c r="I33" i="1" s="1"/>
  <c r="H39" i="1"/>
  <c r="H33" i="1" s="1"/>
  <c r="G39" i="1"/>
  <c r="G33" i="1" s="1"/>
  <c r="L38" i="1"/>
  <c r="L37" i="1"/>
  <c r="L36" i="1"/>
  <c r="L35" i="1"/>
  <c r="L34" i="1"/>
  <c r="L31" i="1"/>
  <c r="L30" i="1"/>
  <c r="L18" i="1"/>
  <c r="L17" i="1"/>
  <c r="K16" i="1"/>
  <c r="I16" i="1"/>
  <c r="H16" i="1"/>
  <c r="G16" i="1"/>
  <c r="L15" i="1"/>
  <c r="L13" i="1"/>
  <c r="K12" i="1"/>
  <c r="J12" i="1"/>
  <c r="I12" i="1"/>
  <c r="H12" i="1"/>
  <c r="G12" i="1"/>
  <c r="I9" i="1" l="1"/>
  <c r="I7" i="1" s="1"/>
  <c r="I102" i="1"/>
  <c r="G102" i="1"/>
  <c r="J9" i="1"/>
  <c r="J7" i="1" s="1"/>
  <c r="J133" i="1" s="1"/>
  <c r="L12" i="1"/>
  <c r="L39" i="1"/>
  <c r="L33" i="1" s="1"/>
  <c r="L29" i="1"/>
  <c r="K9" i="1"/>
  <c r="K7" i="1" s="1"/>
  <c r="K133" i="1" s="1"/>
  <c r="L16" i="1"/>
  <c r="L54" i="1"/>
  <c r="L48" i="1"/>
  <c r="L44" i="1" s="1"/>
  <c r="H9" i="1"/>
  <c r="H7" i="1" s="1"/>
  <c r="G7" i="1"/>
  <c r="L9" i="1" l="1"/>
  <c r="L7" i="1" s="1"/>
  <c r="L133" i="1" s="1"/>
  <c r="G70" i="1" l="1"/>
  <c r="G57" i="1" s="1"/>
  <c r="G133" i="1" s="1"/>
  <c r="H70" i="1"/>
  <c r="H57" i="1" s="1"/>
  <c r="H133" i="1" s="1"/>
  <c r="I70" i="1"/>
  <c r="I57" i="1" s="1"/>
  <c r="I133" i="1" s="1"/>
</calcChain>
</file>

<file path=xl/sharedStrings.xml><?xml version="1.0" encoding="utf-8"?>
<sst xmlns="http://schemas.openxmlformats.org/spreadsheetml/2006/main" count="524" uniqueCount="268">
  <si>
    <t>I</t>
  </si>
  <si>
    <t>ĐTHL tự thực hiện</t>
  </si>
  <si>
    <t>II</t>
  </si>
  <si>
    <t>ĐVT: đồng</t>
  </si>
  <si>
    <t>STT</t>
  </si>
  <si>
    <t>Nội dung</t>
  </si>
  <si>
    <t>Đơn vị thực hiện</t>
  </si>
  <si>
    <t xml:space="preserve">Thời gian
(Số ngày)
</t>
  </si>
  <si>
    <t>Số lớp</t>
  </si>
  <si>
    <t>Số người/lớp</t>
  </si>
  <si>
    <t>Tổng số người</t>
  </si>
  <si>
    <t>Kinh phí ĐTHL</t>
  </si>
  <si>
    <t>Tiến độ/ phân kỳ thực hiện</t>
  </si>
  <si>
    <t>Ghi chú</t>
  </si>
  <si>
    <t>TT TBHĐB</t>
  </si>
  <si>
    <t>TT BĐKT</t>
  </si>
  <si>
    <t>Nhận thức và quản trị chuyển đổi CBTA</t>
  </si>
  <si>
    <t>Quản lý rủi ro mệt mỏi (FRMS) cho người quản lý</t>
  </si>
  <si>
    <t>Điều tra sự cố, phân tích nguyên nhân gốc và phân tích dữ liệu an toàn</t>
  </si>
  <si>
    <t>Quản lý an toàn, chất lượng dựa trên nhận diện rủi ro</t>
  </si>
  <si>
    <t>Bảo đảm chất lượng đào tạo và đánh giá dựa trên năng lực – CBTA</t>
  </si>
  <si>
    <t>Huấn luyện định kỳ vị trí Kíp trưởng TBHĐB</t>
  </si>
  <si>
    <t>Kíp trưởng</t>
  </si>
  <si>
    <t>Huấn luyện định kỳ vị trí Nhân viên TBHĐB</t>
  </si>
  <si>
    <t>Nhân viên</t>
  </si>
  <si>
    <t>Nhận dạng mối nguy và quản lý rủi ro an ninh mạng</t>
  </si>
  <si>
    <t>Văn hóa an ninh và nhận thức an ninh toàn Tổng công ty</t>
  </si>
  <si>
    <t>ĐÀO TẠO HUẤN LUYỆN TRONG NƯỚC</t>
  </si>
  <si>
    <t>Huấn luyện năng định</t>
  </si>
  <si>
    <t>Huấn luyện định kỳ</t>
  </si>
  <si>
    <t>Huấn luyện An toàn vệ sinh lao động</t>
  </si>
  <si>
    <t>Quản lý tần số, phát hiện nhiễu vệ tinh và duy trì trao đổi dữ liệu</t>
  </si>
  <si>
    <t>Quản lý dự án công nghệ cao, nhà thầu và chuyển giao công nghệ</t>
  </si>
  <si>
    <t>Quản lý kỹ thuật, cán bộ tham gia dự án</t>
  </si>
  <si>
    <t>Huấn luyện định kỳ vị trí Phép bay kế hoạch bay</t>
  </si>
  <si>
    <t>Hệ thống đào tạo dựa trên năng lực (CBTA) &amp; Quy chuẩn pháp lý mới cho Huấn luyện viên.</t>
  </si>
  <si>
    <t>Bảo vệ bí mật nhà nước, an ninh và an toàn thông tin.</t>
  </si>
  <si>
    <t>Nghiệp vụ sư phạm</t>
  </si>
  <si>
    <t>Khai thác môi trường, khái niệm Dữ liệu số và chất lượng dữ liệu phục vụ quản lý thông tin toàn hệ thống</t>
  </si>
  <si>
    <t>Quản lý, thiết kế cấu hình vùng trời linh hoạt và khai thác đường bay tự do (FRA/FUA) nâng cao</t>
  </si>
  <si>
    <t>Quản lý sử dụng vùng trời (ASM), phối hợp HKDD – Quân Sự</t>
  </si>
  <si>
    <t>Khóa đào tạo chuyên gia học máy sử dụng Chat GPT x Python</t>
  </si>
  <si>
    <t>Chuyên viên CNTT</t>
  </si>
  <si>
    <t>Phân tích dữ liệu lớn Big Data</t>
  </si>
  <si>
    <t>VMWare vSphere: Install, Configure, Manage</t>
  </si>
  <si>
    <t>Huấn luyện cơ bản, định kỳ Hệ thống quản lý an toàn (SMS)</t>
  </si>
  <si>
    <t>CBCNV</t>
  </si>
  <si>
    <t>Đào tạo tiếng Anh chuyên ngành</t>
  </si>
  <si>
    <t>A</t>
  </si>
  <si>
    <t>II.1</t>
  </si>
  <si>
    <t>Huấn luyện chuyển loại</t>
  </si>
  <si>
    <t>Huấn luyện phục hồi</t>
  </si>
  <si>
    <t>Huấn luyện bồi dưỡng, nâng cao (bổ túc, bổ sung, cập nhật …)</t>
  </si>
  <si>
    <t>Nội dung khác</t>
  </si>
  <si>
    <t>Thông tin dẫn đường giám sát (CNS)</t>
  </si>
  <si>
    <t>II.2</t>
  </si>
  <si>
    <t>An toàn</t>
  </si>
  <si>
    <t>An ninh</t>
  </si>
  <si>
    <t>Chất lượng</t>
  </si>
  <si>
    <t>HLV ATFM</t>
  </si>
  <si>
    <t>B</t>
  </si>
  <si>
    <t>ĐTHL tại nước ngoài</t>
  </si>
  <si>
    <t>Critical Stress Management Peer training (certified course) [HUM-CISM]</t>
  </si>
  <si>
    <t>theo chương trình của nơi tổ chức</t>
  </si>
  <si>
    <t>theo quy định TCT</t>
  </si>
  <si>
    <t>Airport Collaborative Decision Making [APT-ACDM]</t>
  </si>
  <si>
    <t>Vị trí quản lý luồng không lưu - mô đun 2 (FMP module 2)</t>
  </si>
  <si>
    <t>Vị trí quản lý luồng không lưu - mô đun 3 (FMP Module 3)</t>
  </si>
  <si>
    <t>Đã học FMP module 2 trong vòng 2 năm trở lại đây</t>
  </si>
  <si>
    <t>Quản lý luồng không lưu và năng lực (Introduction to Air traffic flow and capacity management)</t>
  </si>
  <si>
    <t>Basic NEST Training </t>
  </si>
  <si>
    <t>Tháng 4</t>
  </si>
  <si>
    <t>P.ATCL</t>
  </si>
  <si>
    <t>ATFCM và khai thác mạng lưới (Air Traffic Flow and Capacity Management” and “Basic NEST training)</t>
  </si>
  <si>
    <t>Đào tạo, huấn luyện và đánh giá dựa trên năng lực (CBTA) &amp; Thẩm định chương trình huấn luyện OJT</t>
  </si>
  <si>
    <t>C</t>
  </si>
  <si>
    <t>1.1.2</t>
  </si>
  <si>
    <t>1.1.3</t>
  </si>
  <si>
    <t>1.2.2</t>
  </si>
  <si>
    <t>1.2.1</t>
  </si>
  <si>
    <t>1.2.3</t>
  </si>
  <si>
    <t>1.2.4</t>
  </si>
  <si>
    <t>1.2.5</t>
  </si>
  <si>
    <t>2.1</t>
  </si>
  <si>
    <t>2.6</t>
  </si>
  <si>
    <t>2.6.1</t>
  </si>
  <si>
    <t>2.6.2</t>
  </si>
  <si>
    <t>2.6.3</t>
  </si>
  <si>
    <t>2.6.4</t>
  </si>
  <si>
    <t>Huấn luyện quản trị hệ thống thư điện tử Mail VATM</t>
  </si>
  <si>
    <t>Huấn luyện nâng cao quản trị hệ thống số liệu điều hành bay</t>
  </si>
  <si>
    <t>Bay làm quen</t>
  </si>
  <si>
    <t>Đào tạo, huấn luyện nhân viên bảo đảm hoạt động bay (ANS)</t>
  </si>
  <si>
    <t>Không lưu</t>
  </si>
  <si>
    <t>1.1.1</t>
  </si>
  <si>
    <t>1440 giờ</t>
  </si>
  <si>
    <t>40 giờ</t>
  </si>
  <si>
    <t>1.6.1</t>
  </si>
  <si>
    <t>8 giờ</t>
  </si>
  <si>
    <t>1.6.2</t>
  </si>
  <si>
    <t>1.6.3</t>
  </si>
  <si>
    <t>2.2</t>
  </si>
  <si>
    <t>2.3</t>
  </si>
  <si>
    <t>2.4</t>
  </si>
  <si>
    <t>2.5</t>
  </si>
  <si>
    <t>36 giờ</t>
  </si>
  <si>
    <t>20 giờ</t>
  </si>
  <si>
    <t>32giờ</t>
  </si>
  <si>
    <t>An toàn, an ninh, chất lượng</t>
  </si>
  <si>
    <t>4.1</t>
  </si>
  <si>
    <t>II.3</t>
  </si>
  <si>
    <t>CB,NV PBKHB</t>
  </si>
  <si>
    <t>Huấn luyện định kỳ vị trí nhân viên ATFM</t>
  </si>
  <si>
    <t>Huấn luyện định kỳ vị trí Kíp trưởng ATFM</t>
  </si>
  <si>
    <t>Huấn luyện định kỳ vị trí HLV ATFM</t>
  </si>
  <si>
    <t>TTQLLKL</t>
  </si>
  <si>
    <t>Tổng</t>
  </si>
  <si>
    <t>Tập huấn về công tác báo cáo số liệu điều hành bay tại các Công ty QLB MT, MN</t>
  </si>
  <si>
    <t>24 giờ</t>
  </si>
  <si>
    <t>Huấn luyện nâng cao chuyên môn nghiệp vụ quản lý hệ thống An toàn, Chất lượng cho CB,NV Phòng ATCL</t>
  </si>
  <si>
    <t>Tập huấn tuyên truyền, nâng cao nhận thức về "văn hóa an toàn hàng không" cho CB, NV TTQLLKL</t>
  </si>
  <si>
    <t>CB,NV</t>
  </si>
  <si>
    <t xml:space="preserve">Huấn luyện tại vị trí làm việc </t>
  </si>
  <si>
    <t>Huấn luyện tại vị trí làm việc  HLV ATFM</t>
  </si>
  <si>
    <t>TT ĐPLKL</t>
  </si>
  <si>
    <t>NV ATFM</t>
  </si>
  <si>
    <t>KT ATFM</t>
  </si>
  <si>
    <t>NV KT</t>
  </si>
  <si>
    <t>CB,NV ATCL</t>
  </si>
  <si>
    <t>P.TCCB</t>
  </si>
  <si>
    <t xml:space="preserve">NV  </t>
  </si>
  <si>
    <t>Tổ chức ôn kiểm tra, sát hạch đánh giá năng lực NV,HLV ANS</t>
  </si>
  <si>
    <t>Huấn luyện nhân viên mới tại vị trí làm việc ATFM</t>
  </si>
  <si>
    <t>4.2</t>
  </si>
  <si>
    <t>4.3</t>
  </si>
  <si>
    <t>4.4</t>
  </si>
  <si>
    <t>4.5</t>
  </si>
  <si>
    <t>Chi Đào tạo</t>
  </si>
  <si>
    <t>Chi khác (Công tác phí, chi phí lưu trú, chi phí đi lại …)</t>
  </si>
  <si>
    <t>Đối tượng (bao gồm yêu cầu về trình độ chuyên môn, tiếng anh, kinh nghiệm công tác)</t>
  </si>
  <si>
    <t xml:space="preserve">1. An toàn vệ sinh lao động – PCCC </t>
  </si>
  <si>
    <t>CB - PATCL,</t>
  </si>
  <si>
    <t>NV PATCL</t>
  </si>
  <si>
    <t>P.NV</t>
  </si>
  <si>
    <t>CB, NV P.NVATFM</t>
  </si>
  <si>
    <t>NV VP</t>
  </si>
  <si>
    <t>Hệ thống quản lý bay số, SOC/Digital NOC</t>
  </si>
  <si>
    <t>Tin tức - khí tượng số và chất lượng dữ liệu phục vụ quản lý thông tin toàn hệ thống</t>
  </si>
  <si>
    <t>NV kỹ thuật thông tin/dẫn đường/giám sát</t>
  </si>
  <si>
    <t>Quản trị hiện đại, chỉ số hiệu quả (KPI) và kỹ năng lãnh đạo trong nhà cung cấp dịch vụ bảo đảm hoạt động bay</t>
  </si>
  <si>
    <t>Bồi dưỡng các kỹ năng bổ trợ (Thuyết trình, chủ trì hội thảo, quản lý dự án công nghệ cao và đề tài khoa học công nghệ)</t>
  </si>
  <si>
    <t>CB,NV PNVATFM</t>
  </si>
  <si>
    <t>Tiếng Anh chuyên ngành và phối hợp quốc tế, đàm thoại hiệp đồng và kỹ năng sát hạch viên</t>
  </si>
  <si>
    <t>ĐÀO TẠO HUẤN LUYỆN TRONG NƯỚC - ĐƠN VỊ THỰC HIỆN</t>
  </si>
  <si>
    <t>16 giờ</t>
  </si>
  <si>
    <t>Huấn luyện cập nhật công tác kế hoạch, chế độ kế toán danh nghiệp và chi phí chuyển đổi số trong công tác tài chính, kế hoạch</t>
  </si>
  <si>
    <t>P.TC, P.KH</t>
  </si>
  <si>
    <t>Huấn luyện cập nhật, nâng cao chuyên môn nghiệp vụ AMHS</t>
  </si>
  <si>
    <t>Huấn luyện cập nhật, nâng cao chuyên môn nghiệp vụ khai thác ghi âm</t>
  </si>
  <si>
    <t xml:space="preserve">6. Quản trị – Lãnh đạo – KPI  </t>
  </si>
  <si>
    <t xml:space="preserve">5. Dữ liệu – Công nghệ thông tin – AI  </t>
  </si>
  <si>
    <t xml:space="preserve">3. Hệ thống quản lý an toàn (SMS/FRMS/MOC – Quản lý rủi ro) </t>
  </si>
  <si>
    <t xml:space="preserve">2. An ninh hàng không – An ninh mạng  </t>
  </si>
  <si>
    <t>Theo Kế 
hoạch của TCT</t>
  </si>
  <si>
    <t>Theo 
Kế hoạch của TCT</t>
  </si>
  <si>
    <r>
      <rPr>
        <sz val="9"/>
        <rFont val="Times New Roman"/>
        <family val="1"/>
      </rPr>
      <t xml:space="preserve"> TỔNG CÔNG TY QUẢN LÝ BAY VIỆT NAM</t>
    </r>
    <r>
      <rPr>
        <b/>
        <sz val="9"/>
        <rFont val="Times New Roman"/>
        <family val="1"/>
      </rPr>
      <t xml:space="preserve">
TRUNG TÂM QUẢN LÝ LUỒNG KHÔNG LƯU</t>
    </r>
  </si>
  <si>
    <t>KSVKL, Khí tượng, ARO, kĩ thuật, đại diện các hãng HK, cảng HK</t>
  </si>
  <si>
    <t>Các khóa huấn khác do TCT phân bổ</t>
  </si>
  <si>
    <t>1.1</t>
  </si>
  <si>
    <t>1.2.6</t>
  </si>
  <si>
    <t>Thuê ngoài</t>
  </si>
  <si>
    <t>1.2</t>
  </si>
  <si>
    <t>1.3</t>
  </si>
  <si>
    <t>1.4</t>
  </si>
  <si>
    <t>1.5</t>
  </si>
  <si>
    <t>1.6</t>
  </si>
  <si>
    <t>Theo KH của TCT/TTĐTHL</t>
  </si>
  <si>
    <t>TCT/ĐTHL</t>
  </si>
  <si>
    <t>Huấn luyện phục hồi nhân viên TBHĐB</t>
  </si>
  <si>
    <t>32 giờ</t>
  </si>
  <si>
    <t>Huấn luyện Phát triển kỹ năng kèm cặp, hướng dẫn chuyên môn và chuyển giao tri thức tại chỗ cho thế hệ kế cận trong phòng, phục vụ lộ trình phát triển nguồn nhân lực bền vững của đơn vị.</t>
  </si>
  <si>
    <t>CB,NV P.NV</t>
  </si>
  <si>
    <t>Lập trình, tích hợp, tối ưu hóa hệ thống PLC/SCADA (Modbus, BACnet) và giám sát hệ thống</t>
  </si>
  <si>
    <t>Tháng 1</t>
  </si>
  <si>
    <t>Tháng 2</t>
  </si>
  <si>
    <t>Tháng 3</t>
  </si>
  <si>
    <t>Tháng 5</t>
  </si>
  <si>
    <t>Tháng 6</t>
  </si>
  <si>
    <t>Tháng 3 đến tháng 11</t>
  </si>
  <si>
    <t>Tháng 8</t>
  </si>
  <si>
    <t>CB, NV TT ĐPL</t>
  </si>
  <si>
    <t>Tháng 9</t>
  </si>
  <si>
    <t>CBNV</t>
  </si>
  <si>
    <t>NV kỹ thuật, NV</t>
  </si>
  <si>
    <t>NV  PKT, ATCL</t>
  </si>
  <si>
    <t>CB,NV VP, NV, ATCL, KT</t>
  </si>
  <si>
    <t>Bồi dưỡng nghiệp vụ về Luật Xây dựng, Đấu thầu, luật CNTT</t>
  </si>
  <si>
    <t>Huấn luyện chuyển loại KSVKL sang ATFM</t>
  </si>
  <si>
    <t>275 giờ</t>
  </si>
  <si>
    <t>Theo KH điều chuyển</t>
  </si>
  <si>
    <t>1.3.1</t>
  </si>
  <si>
    <t>1.4.1</t>
  </si>
  <si>
    <t>D</t>
  </si>
  <si>
    <t>Tổng cộng: (A+B+C+D)</t>
  </si>
  <si>
    <t>CB,NV PNVATFM, TBHĐB</t>
  </si>
  <si>
    <t>CB PNVATFM, TBHĐB</t>
  </si>
  <si>
    <t>Khóa huấn luyện Lập kế hoạch hoạt động bay và Quản lý chuyến bay (Flight Planning and Flight Management)</t>
  </si>
  <si>
    <t>KSVKL từ các Công ty QLBMN</t>
  </si>
  <si>
    <t>BĐKT, ĐPL, TBHĐB, NV, KT, ATCL</t>
  </si>
  <si>
    <t>CB, NV P.NVATFM, TBHĐB</t>
  </si>
  <si>
    <t>NV P.KH, KT, BĐKT</t>
  </si>
  <si>
    <t>ĐÀO TẠO HUẤN LUYỆN KHOA HỌC VÀ CÔNG NGHỆ ĐMST</t>
  </si>
  <si>
    <t>Khoá tích hợp SMS và QMS</t>
  </si>
  <si>
    <t>Safety Audit</t>
  </si>
  <si>
    <t xml:space="preserve">Khoá SMS nâng cao; </t>
  </si>
  <si>
    <t>CB,NV P.ATCL</t>
  </si>
  <si>
    <t>CB, NV TT TBHĐB, ĐPLKL</t>
  </si>
  <si>
    <t xml:space="preserve">7. Ngoại ngữ chuyên ngành </t>
  </si>
  <si>
    <t xml:space="preserve">8. Pháp chế – Pháp luật  </t>
  </si>
  <si>
    <t xml:space="preserve">9. Kỹ thuật – Cơ điện – Hạ tầng  </t>
  </si>
  <si>
    <t xml:space="preserve">10. Hành chính – Đảng – Chính trị – Tuyên truyền  </t>
  </si>
  <si>
    <t xml:space="preserve">11. Thiết kế đồ họa  </t>
  </si>
  <si>
    <t>Tháng 7,8</t>
  </si>
  <si>
    <t>Khóa tập huấn và phổ biến văn bản quy phạm pháp luật có liên quan, quy chế nội bộ, chế độ chính sách, quy trình làm việc &amp; nghiệp vụ chuyên môn dành cho CBCNV Trung tâm QLLKL</t>
  </si>
  <si>
    <t>Huấn luyện tại vị trí làm việc  HLV TBHĐB</t>
  </si>
  <si>
    <t>420 giờ</t>
  </si>
  <si>
    <t>Huấn luyện định kỳ vị trí HLV TBHĐB</t>
  </si>
  <si>
    <t>1.2.7</t>
  </si>
  <si>
    <t>NV PNV ATFM, ATCL, TBHĐB, TCCB</t>
  </si>
  <si>
    <t>ATCL, TBHĐB, ĐPLKL, BĐKT</t>
  </si>
  <si>
    <t>Đào tạo về Trí tuệ nhân tạo AI ứng dụng vào chuyên môn ATCL, Kỹ thuật, ATFM, TBHĐB</t>
  </si>
  <si>
    <t>Đào tạo về Trí tuệ nhân tạo AI ứng dụng vào lĩnh vực chuyên môn: NV, KH, TCCB, VP, T.Chính</t>
  </si>
  <si>
    <t>NV PNVATFM,ATCL, TBHĐB</t>
  </si>
  <si>
    <t>Khoá huấn luyện chuyên môn ATSEP chuyên ngành Thông tin</t>
  </si>
  <si>
    <t>Khoá huấn luyện chuyên môn ATSEP chuyên ngành xử lý dữ liệu</t>
  </si>
  <si>
    <t>KT, BĐKT</t>
  </si>
  <si>
    <t>Quản lý kế hoạch bay tập trung IFPS</t>
  </si>
  <si>
    <t>BĐKT</t>
  </si>
  <si>
    <t>CB, NV P.NVATFM, ATCL, ATFM, TBHĐB, BĐKT</t>
  </si>
  <si>
    <t>Nhân viên mới</t>
  </si>
  <si>
    <t>Huấn luyện quản lý kế hoạch,tài chính đầu tư, Hợp đồng và lựa chọn nhà thầu chi thường xuyên cho nhân viên tài chính, kế hoạch</t>
  </si>
  <si>
    <t>ĐÀO TẠO HUẤN LUYỆN TRONG NƯỚC (CÁC KHÓA CHUNG CHO TỔNG CÔNG TY) - TT ĐTHL THỰC HIỆN</t>
  </si>
  <si>
    <t>Bảo mật &amp; An toàn thông tin mạng chuyên ngành Hàng không (Aviation Cybersecurity)</t>
  </si>
  <si>
    <t>Chuyển đổi hạ tầng CNS/ATM sang hạ tầng Số (Digital CNS/ATM Infrastructure)</t>
  </si>
  <si>
    <t>Nhận thức &amp; Kỹ năng Số cho Lãnh đạo và Cán bộ Quản lý (Digital Leadership)</t>
  </si>
  <si>
    <t>Bình dân học vụ số &amp; An toàn số cá nhân</t>
  </si>
  <si>
    <t>Văn hóa Đổi mới sáng tạo (Innovation Culture)</t>
  </si>
  <si>
    <t>Quản lý hạ tầng nguồn, điện, điện lạnh</t>
  </si>
  <si>
    <t>Kỹ sư TTBĐKT</t>
  </si>
  <si>
    <t>NV TTBĐKT</t>
  </si>
  <si>
    <t>ATFM-A-CDM integration</t>
  </si>
  <si>
    <t>Nơi đào tạo/ cơ sở đào tạo dự kiến (hoặc cơ quan, đơn vị chủ trì)</t>
  </si>
  <si>
    <t>Quản lý luồng và phối hợp ra quyết định: kế hoạch, giờ cất cánh, thời tiết xấu, phân tích sau khai thác (FMP Module 1,2,3)</t>
  </si>
  <si>
    <t>CB, NV P.NVATFM, ATCL, ĐPLKL, TBHĐB, BĐKT</t>
  </si>
  <si>
    <t>CB, NV P.NVATFM, ATCL, ĐPLKL, TBHĐB</t>
  </si>
  <si>
    <t>Nghiệp vụ pháp chế (quản trị nội bộ, thể chế, rủi ro pháp lý…)</t>
  </si>
  <si>
    <t>Nghiệp vụ công tác Văn thư – Lưu trữ (quản lý văn bản đi-đến, con dấu, chữ ký số, giao nộp, quản lý tài liệu lưu trữ, tài liệu mật…)</t>
  </si>
  <si>
    <t>Nghiệp vụ công tác xây dựng Đảng (công tác tuyên giáo, TCCB, giám sát, kỷ luật đảng, dân vận, đoàn thể)</t>
  </si>
  <si>
    <t>Nghiệp vụ thông tin tuyên truyền (phân tích, xử lý thông tin, tuyên truyền, vận hành kênh truyền thông, tổ chức sự kiện..)</t>
  </si>
  <si>
    <t>Thiết kế đồ họa (nhận diện thương hiệu, truyền thông, quảng cáo, giao diện số…)</t>
  </si>
  <si>
    <t>Trung cấp lý luận chính trị - hành chính</t>
  </si>
  <si>
    <t>4. Lý luận chính trị, nghiệp vụ</t>
  </si>
  <si>
    <t xml:space="preserve">Nghiệp vụ phòng cháy, chữa cháy và cứu nạn, cứu hộ (tuyên truyền, phòng ngừa, xử lý sự cố, ứng dụng công nghệ…) </t>
  </si>
  <si>
    <t>ĐÀO TẠO HUẤN LUYỆN TẠI NƯỚC NGOÀI VÀ DO GIÁO VIÊN NƯỚC NGOÀI GIẢNG DẠY TẠI VIỆT NAM - TT ĐTHL THỰC HIỆN</t>
  </si>
  <si>
    <t>KT, BĐKT, ATCL</t>
  </si>
  <si>
    <t>ĐỀ XUẤT KẾ HOẠCH ĐÀO TẠO HUẤN LUYỆN NĂM 2027</t>
  </si>
  <si>
    <t>CỘNG HOÀ XÃ HỘI CHỦ NGHĨA VIỆT NAM
Độc lập - Tự do - hạnh phúc
Hà Nội, ngày         tháng      năm 2026</t>
  </si>
  <si>
    <t xml:space="preserve"> Tập huấn về công tác ATFM mức 3 tại các Cảng HK, sân bay: Nội Bài, Đà Nẵng, Cam Ranh, Tân Sơn Nhất, Phú Quốc;  ATFM mức 2 tại các Cảng HK, sân bay: Đồng Hới, Long Thành, Liên Khương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</si>
</sst>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 #,##0_-;_-* &quot;-&quot;??_-;_-@_-"/>
  </numFmts>
  <fonts count="16" x14ac:knownFonts="1">
    <font>
      <sz val="11"/>
      <color theme="1"/>
      <name val="Calibri"/>
      <family val="2"/>
      <scheme val="minor"/>
    </font>
    <font>
      <sz val="11"/>
      <color theme="1"/>
      <name val="Calibri"/>
      <family val="2"/>
      <scheme val="minor"/>
    </font>
    <font>
      <sz val="10"/>
      <name val="Arial"/>
      <family val="2"/>
    </font>
    <font>
      <b/>
      <sz val="9"/>
      <name val="Times New Roman"/>
      <family val="1"/>
    </font>
    <font>
      <sz val="9"/>
      <name val="Times New Roman"/>
      <family val="1"/>
    </font>
    <font>
      <i/>
      <sz val="9"/>
      <name val="Times New Roman"/>
      <family val="1"/>
    </font>
    <font>
      <b/>
      <i/>
      <sz val="9"/>
      <name val="Times New Roman"/>
      <family val="1"/>
    </font>
    <font>
      <sz val="9"/>
      <color rgb="FF000000"/>
      <name val="Times New Roman"/>
      <family val="1"/>
    </font>
    <font>
      <sz val="9"/>
      <color theme="1"/>
      <name val="Times New Roman"/>
      <family val="1"/>
    </font>
    <font>
      <sz val="8"/>
      <name val="Calibri"/>
      <family val="2"/>
      <scheme val="minor"/>
    </font>
    <font>
      <sz val="11"/>
      <color theme="1"/>
      <name val="Calibri"/>
      <family val="2"/>
      <charset val="1"/>
    </font>
    <font>
      <sz val="9.5"/>
      <name val="Times New Roman"/>
      <family val="1"/>
    </font>
    <font>
      <sz val="8"/>
      <name val="Times New Roman"/>
      <family val="1"/>
    </font>
    <font>
      <b/>
      <sz val="8"/>
      <name val="Times New Roman"/>
      <family val="1"/>
    </font>
    <font>
      <b/>
      <i/>
      <sz val="8"/>
      <name val="Times New Roman"/>
      <family val="1"/>
    </font>
    <font>
      <i/>
      <sz val="8"/>
      <name val="Times New Roman"/>
      <family val="1"/>
    </font>
  </fonts>
  <fills count="5">
    <fill>
      <patternFill patternType="none"/>
    </fill>
    <fill>
      <patternFill patternType="gray125"/>
    </fill>
    <fill>
      <patternFill patternType="solid">
        <fgColor theme="0"/>
        <bgColor indexed="64"/>
      </patternFill>
    </fill>
    <fill>
      <patternFill patternType="solid">
        <fgColor theme="0"/>
        <bgColor rgb="FFCCFFFF"/>
      </patternFill>
    </fill>
    <fill>
      <patternFill patternType="solid">
        <fgColor theme="0"/>
        <bgColor rgb="FF000000"/>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0" fontId="2"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0" fillId="0" borderId="0"/>
  </cellStyleXfs>
  <cellXfs count="144">
    <xf numFmtId="0" fontId="0" fillId="0" borderId="0" xfId="0"/>
    <xf numFmtId="0" fontId="4" fillId="2" borderId="0" xfId="2" applyFont="1" applyFill="1" applyAlignment="1">
      <alignment horizontal="center" vertical="center" wrapText="1"/>
    </xf>
    <xf numFmtId="164" fontId="4" fillId="2" borderId="0" xfId="1" applyNumberFormat="1" applyFont="1" applyFill="1" applyAlignment="1">
      <alignment horizontal="right" vertical="center"/>
    </xf>
    <xf numFmtId="0" fontId="4" fillId="2" borderId="0" xfId="0" applyFont="1" applyFill="1" applyAlignment="1">
      <alignment horizontal="center" vertical="center"/>
    </xf>
    <xf numFmtId="0" fontId="5" fillId="2" borderId="2" xfId="3" applyFont="1" applyFill="1" applyBorder="1" applyAlignment="1">
      <alignment horizontal="center" vertical="center"/>
    </xf>
    <xf numFmtId="164" fontId="3" fillId="2" borderId="2" xfId="1" applyNumberFormat="1" applyFont="1" applyFill="1" applyBorder="1" applyAlignment="1">
      <alignment vertical="center"/>
    </xf>
    <xf numFmtId="164" fontId="5" fillId="2" borderId="2" xfId="1" applyNumberFormat="1" applyFont="1" applyFill="1" applyBorder="1" applyAlignment="1">
      <alignment vertical="center"/>
    </xf>
    <xf numFmtId="0" fontId="4" fillId="2" borderId="2" xfId="3" applyFont="1" applyFill="1" applyBorder="1" applyAlignment="1">
      <alignment horizontal="center" vertical="center"/>
    </xf>
    <xf numFmtId="0" fontId="6"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2" xfId="3" applyFont="1" applyFill="1" applyBorder="1" applyAlignment="1">
      <alignment horizontal="left" vertical="center" wrapText="1"/>
    </xf>
    <xf numFmtId="0" fontId="3"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2" xfId="3" applyFont="1" applyFill="1" applyBorder="1" applyAlignment="1">
      <alignment vertical="center" wrapText="1"/>
    </xf>
    <xf numFmtId="165" fontId="4" fillId="2" borderId="2" xfId="1" applyNumberFormat="1" applyFont="1" applyFill="1" applyBorder="1" applyAlignment="1">
      <alignment horizontal="center" vertical="center" wrapText="1"/>
    </xf>
    <xf numFmtId="0" fontId="4" fillId="2" borderId="0" xfId="0" applyFont="1" applyFill="1" applyAlignment="1">
      <alignment horizontal="center"/>
    </xf>
    <xf numFmtId="164" fontId="4" fillId="2" borderId="2" xfId="1" applyNumberFormat="1" applyFont="1" applyFill="1" applyBorder="1" applyAlignment="1">
      <alignment vertical="center"/>
    </xf>
    <xf numFmtId="0" fontId="3" fillId="2" borderId="2" xfId="3" applyFont="1" applyFill="1" applyBorder="1" applyAlignment="1">
      <alignment horizontal="left" vertical="center"/>
    </xf>
    <xf numFmtId="0" fontId="6" fillId="2" borderId="2" xfId="3" applyFont="1" applyFill="1" applyBorder="1" applyAlignment="1">
      <alignment horizontal="center" vertical="center"/>
    </xf>
    <xf numFmtId="0" fontId="6" fillId="2" borderId="2" xfId="3" applyFont="1" applyFill="1" applyBorder="1" applyAlignment="1">
      <alignment vertical="center"/>
    </xf>
    <xf numFmtId="164" fontId="3" fillId="2" borderId="2" xfId="3" applyNumberFormat="1" applyFont="1" applyFill="1" applyBorder="1" applyAlignment="1">
      <alignment horizontal="center" vertical="center" shrinkToFit="1"/>
    </xf>
    <xf numFmtId="0" fontId="6" fillId="2" borderId="2" xfId="3" applyFont="1" applyFill="1" applyBorder="1" applyAlignment="1">
      <alignment horizontal="left" vertical="center"/>
    </xf>
    <xf numFmtId="0" fontId="6" fillId="2" borderId="2" xfId="0" applyFont="1" applyFill="1" applyBorder="1" applyAlignment="1">
      <alignment vertical="center"/>
    </xf>
    <xf numFmtId="164" fontId="6" fillId="2" borderId="2" xfId="3" applyNumberFormat="1" applyFont="1" applyFill="1" applyBorder="1" applyAlignment="1">
      <alignment horizontal="center" vertical="center" shrinkToFit="1"/>
    </xf>
    <xf numFmtId="0" fontId="4" fillId="2" borderId="2" xfId="0" applyFont="1" applyFill="1" applyBorder="1" applyAlignment="1">
      <alignment vertic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vertical="center"/>
    </xf>
    <xf numFmtId="0" fontId="4" fillId="2" borderId="0" xfId="0" applyFont="1" applyFill="1" applyAlignment="1">
      <alignment vertical="center"/>
    </xf>
    <xf numFmtId="0" fontId="4" fillId="2" borderId="0" xfId="0" applyFont="1" applyFill="1"/>
    <xf numFmtId="164" fontId="4" fillId="2" borderId="0" xfId="1" applyNumberFormat="1" applyFont="1" applyFill="1" applyAlignment="1">
      <alignment horizontal="right"/>
    </xf>
    <xf numFmtId="165" fontId="4" fillId="2" borderId="0" xfId="1" applyNumberFormat="1" applyFont="1" applyFill="1" applyAlignment="1">
      <alignment horizontal="right"/>
    </xf>
    <xf numFmtId="0" fontId="4" fillId="2" borderId="2" xfId="0" applyFont="1" applyFill="1" applyBorder="1" applyAlignment="1">
      <alignment vertical="center"/>
    </xf>
    <xf numFmtId="0" fontId="3" fillId="2" borderId="2" xfId="3" applyFont="1" applyFill="1" applyBorder="1" applyAlignment="1">
      <alignment vertical="center" wrapText="1"/>
    </xf>
    <xf numFmtId="0" fontId="3" fillId="2" borderId="2" xfId="0" applyFont="1" applyFill="1" applyBorder="1" applyAlignment="1">
      <alignment vertical="center" wrapText="1"/>
    </xf>
    <xf numFmtId="0" fontId="3" fillId="2" borderId="2" xfId="3" applyFont="1" applyFill="1" applyBorder="1" applyAlignment="1">
      <alignment vertical="center"/>
    </xf>
    <xf numFmtId="0" fontId="6" fillId="2" borderId="2" xfId="0" applyFont="1" applyFill="1" applyBorder="1" applyAlignment="1">
      <alignment vertical="center" wrapText="1"/>
    </xf>
    <xf numFmtId="0" fontId="3" fillId="2" borderId="2" xfId="0" applyFont="1" applyFill="1" applyBorder="1" applyAlignment="1">
      <alignment vertical="center"/>
    </xf>
    <xf numFmtId="0" fontId="6" fillId="2" borderId="2" xfId="3" applyFont="1" applyFill="1" applyBorder="1" applyAlignment="1">
      <alignment horizontal="center" vertical="center" wrapText="1"/>
    </xf>
    <xf numFmtId="164" fontId="3" fillId="2" borderId="2" xfId="3" applyNumberFormat="1" applyFont="1" applyFill="1" applyBorder="1" applyAlignment="1">
      <alignment horizontal="center" vertical="center" wrapText="1"/>
    </xf>
    <xf numFmtId="0" fontId="4" fillId="2" borderId="6" xfId="3" applyFont="1" applyFill="1" applyBorder="1" applyAlignment="1">
      <alignment horizontal="center" vertical="center" wrapText="1"/>
    </xf>
    <xf numFmtId="0" fontId="4" fillId="2" borderId="2" xfId="0" quotePrefix="1" applyFont="1" applyFill="1" applyBorder="1" applyAlignment="1">
      <alignment vertical="center" wrapText="1"/>
    </xf>
    <xf numFmtId="0" fontId="3" fillId="2" borderId="6" xfId="3" applyFont="1" applyFill="1" applyBorder="1" applyAlignment="1">
      <alignment vertical="center"/>
    </xf>
    <xf numFmtId="0" fontId="4" fillId="2" borderId="2" xfId="7" applyFont="1" applyFill="1" applyBorder="1" applyAlignment="1">
      <alignment horizontal="center" vertical="center" wrapText="1"/>
    </xf>
    <xf numFmtId="0" fontId="4" fillId="2" borderId="2" xfId="0" applyFont="1" applyFill="1" applyBorder="1"/>
    <xf numFmtId="0" fontId="4" fillId="2" borderId="2" xfId="7" applyFont="1" applyFill="1" applyBorder="1" applyAlignment="1">
      <alignment vertical="top" wrapText="1"/>
    </xf>
    <xf numFmtId="0" fontId="4" fillId="2" borderId="6" xfId="7" applyFont="1" applyFill="1" applyBorder="1" applyAlignment="1">
      <alignment vertical="top" wrapText="1"/>
    </xf>
    <xf numFmtId="0" fontId="4" fillId="2" borderId="2" xfId="7" applyFont="1" applyFill="1" applyBorder="1" applyAlignment="1">
      <alignment horizontal="center" vertical="top" wrapText="1"/>
    </xf>
    <xf numFmtId="0" fontId="4" fillId="2" borderId="8" xfId="0" applyFont="1" applyFill="1" applyBorder="1"/>
    <xf numFmtId="165" fontId="3" fillId="2" borderId="2" xfId="1" applyNumberFormat="1" applyFont="1" applyFill="1" applyBorder="1" applyAlignment="1">
      <alignment horizontal="center" vertical="center" wrapText="1"/>
    </xf>
    <xf numFmtId="0" fontId="3" fillId="3" borderId="2" xfId="7" applyFont="1" applyFill="1" applyBorder="1" applyAlignment="1">
      <alignment horizontal="left" vertical="center"/>
    </xf>
    <xf numFmtId="0" fontId="3" fillId="3" borderId="6" xfId="7" applyFont="1" applyFill="1" applyBorder="1" applyAlignment="1">
      <alignment horizontal="left" vertical="center"/>
    </xf>
    <xf numFmtId="0" fontId="3" fillId="2" borderId="6" xfId="3" applyFont="1" applyFill="1" applyBorder="1" applyAlignment="1">
      <alignment horizontal="left" vertical="center"/>
    </xf>
    <xf numFmtId="0" fontId="3" fillId="2" borderId="4" xfId="3" applyFont="1" applyFill="1" applyBorder="1" applyAlignment="1">
      <alignment horizontal="left" vertical="center"/>
    </xf>
    <xf numFmtId="0" fontId="3" fillId="2" borderId="5" xfId="3" applyFont="1" applyFill="1" applyBorder="1" applyAlignment="1">
      <alignment horizontal="left" vertical="center"/>
    </xf>
    <xf numFmtId="0" fontId="4" fillId="2" borderId="2" xfId="3" applyFont="1" applyFill="1" applyBorder="1" applyAlignment="1">
      <alignment horizontal="center" vertical="center" wrapText="1"/>
    </xf>
    <xf numFmtId="164" fontId="4" fillId="2" borderId="2" xfId="1" applyNumberFormat="1" applyFont="1" applyFill="1" applyBorder="1" applyAlignment="1">
      <alignment horizontal="center" vertical="center" wrapText="1"/>
    </xf>
    <xf numFmtId="0" fontId="3" fillId="2" borderId="0" xfId="2" applyFont="1" applyFill="1" applyAlignment="1">
      <alignment horizontal="left" vertical="center" wrapText="1"/>
    </xf>
    <xf numFmtId="0" fontId="3" fillId="2" borderId="2" xfId="3" applyFont="1" applyFill="1" applyBorder="1" applyAlignment="1">
      <alignment horizontal="center" vertical="center"/>
    </xf>
    <xf numFmtId="0" fontId="3" fillId="2" borderId="2" xfId="3" applyFont="1" applyFill="1" applyBorder="1" applyAlignment="1">
      <alignment horizontal="center" vertical="center" wrapText="1"/>
    </xf>
    <xf numFmtId="164" fontId="3" fillId="2" borderId="2" xfId="1" applyNumberFormat="1" applyFont="1" applyFill="1" applyBorder="1" applyAlignment="1">
      <alignment horizontal="center" vertical="center" wrapText="1"/>
    </xf>
    <xf numFmtId="0" fontId="4" fillId="2" borderId="2" xfId="1" applyNumberFormat="1" applyFont="1" applyFill="1" applyBorder="1" applyAlignment="1">
      <alignment horizontal="center" vertical="center"/>
    </xf>
    <xf numFmtId="0" fontId="4" fillId="2" borderId="0" xfId="2" applyNumberFormat="1" applyFont="1" applyFill="1" applyAlignment="1">
      <alignment horizontal="center" vertical="center" wrapText="1"/>
    </xf>
    <xf numFmtId="0" fontId="4" fillId="2" borderId="0" xfId="0" applyNumberFormat="1" applyFont="1" applyFill="1" applyAlignment="1">
      <alignment horizontal="center" vertical="center"/>
    </xf>
    <xf numFmtId="0" fontId="3" fillId="2" borderId="2" xfId="3" applyNumberFormat="1" applyFont="1" applyFill="1" applyBorder="1" applyAlignment="1">
      <alignment horizontal="center" vertical="center" wrapText="1"/>
    </xf>
    <xf numFmtId="0" fontId="6" fillId="2" borderId="2" xfId="3" applyNumberFormat="1" applyFont="1" applyFill="1" applyBorder="1" applyAlignment="1">
      <alignment horizontal="center" vertical="center"/>
    </xf>
    <xf numFmtId="0" fontId="3" fillId="2" borderId="2" xfId="3" applyNumberFormat="1" applyFont="1" applyFill="1" applyBorder="1" applyAlignment="1">
      <alignment horizontal="center" vertical="center" shrinkToFit="1"/>
    </xf>
    <xf numFmtId="0" fontId="3" fillId="2" borderId="2" xfId="0" applyNumberFormat="1" applyFont="1" applyFill="1" applyBorder="1" applyAlignment="1">
      <alignment horizontal="center" vertical="center" wrapText="1"/>
    </xf>
    <xf numFmtId="0" fontId="3" fillId="2" borderId="2" xfId="3" applyNumberFormat="1" applyFont="1" applyFill="1" applyBorder="1" applyAlignment="1">
      <alignment horizontal="center" vertical="center"/>
    </xf>
    <xf numFmtId="0" fontId="3" fillId="2" borderId="2" xfId="1" applyNumberFormat="1" applyFont="1" applyFill="1" applyBorder="1" applyAlignment="1">
      <alignment horizontal="center" vertical="center"/>
    </xf>
    <xf numFmtId="0" fontId="4" fillId="2" borderId="2" xfId="3" applyNumberFormat="1" applyFont="1" applyFill="1" applyBorder="1" applyAlignment="1">
      <alignment horizontal="center" vertical="center"/>
    </xf>
    <xf numFmtId="0" fontId="4" fillId="2" borderId="2"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xf>
    <xf numFmtId="0" fontId="5" fillId="2" borderId="2" xfId="3" applyNumberFormat="1" applyFont="1" applyFill="1" applyBorder="1" applyAlignment="1">
      <alignment horizontal="center" vertical="center"/>
    </xf>
    <xf numFmtId="0" fontId="4" fillId="2" borderId="2" xfId="3" applyNumberFormat="1" applyFont="1" applyFill="1" applyBorder="1" applyAlignment="1">
      <alignment horizontal="center" vertical="center" wrapText="1"/>
    </xf>
    <xf numFmtId="0" fontId="4" fillId="2" borderId="2" xfId="7" applyNumberFormat="1" applyFont="1" applyFill="1" applyBorder="1" applyAlignment="1">
      <alignment horizontal="center" vertical="center" wrapText="1"/>
    </xf>
    <xf numFmtId="0" fontId="6" fillId="2" borderId="2" xfId="3" applyNumberFormat="1" applyFont="1" applyFill="1" applyBorder="1" applyAlignment="1">
      <alignment horizontal="center" vertical="center" wrapText="1"/>
    </xf>
    <xf numFmtId="0" fontId="4" fillId="2" borderId="2" xfId="7" applyFont="1" applyFill="1" applyBorder="1" applyAlignment="1">
      <alignment vertical="center" wrapText="1"/>
    </xf>
    <xf numFmtId="0" fontId="4" fillId="2" borderId="6" xfId="7" applyFont="1" applyFill="1" applyBorder="1" applyAlignment="1">
      <alignment vertical="center" wrapText="1"/>
    </xf>
    <xf numFmtId="0" fontId="3" fillId="2" borderId="0" xfId="0" applyFont="1" applyFill="1"/>
    <xf numFmtId="164" fontId="6" fillId="2" borderId="2" xfId="1" applyNumberFormat="1" applyFont="1" applyFill="1" applyBorder="1" applyAlignment="1">
      <alignment vertical="center"/>
    </xf>
    <xf numFmtId="0" fontId="6" fillId="2" borderId="0" xfId="0" applyFont="1" applyFill="1"/>
    <xf numFmtId="0" fontId="6" fillId="2" borderId="2" xfId="1" applyNumberFormat="1" applyFont="1" applyFill="1" applyBorder="1" applyAlignment="1">
      <alignment horizontal="center" vertical="center"/>
    </xf>
    <xf numFmtId="164" fontId="4" fillId="2" borderId="0" xfId="0" applyNumberFormat="1" applyFont="1" applyFill="1"/>
    <xf numFmtId="0" fontId="3" fillId="2" borderId="6" xfId="3" applyFont="1" applyFill="1" applyBorder="1" applyAlignment="1">
      <alignment horizontal="center" vertical="center"/>
    </xf>
    <xf numFmtId="0" fontId="3" fillId="2" borderId="4" xfId="3"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2" xfId="0" applyFont="1" applyFill="1" applyBorder="1"/>
    <xf numFmtId="164" fontId="3" fillId="2" borderId="2" xfId="0" applyNumberFormat="1" applyFont="1" applyFill="1" applyBorder="1" applyAlignment="1">
      <alignment horizontal="center" vertical="center"/>
    </xf>
    <xf numFmtId="0" fontId="4" fillId="2" borderId="0" xfId="0" applyNumberFormat="1" applyFont="1" applyFill="1" applyAlignment="1">
      <alignment horizontal="center"/>
    </xf>
    <xf numFmtId="0" fontId="4" fillId="2" borderId="0" xfId="0" applyFont="1" applyFill="1" applyBorder="1" applyAlignment="1">
      <alignment horizontal="center" vertical="center" wrapText="1"/>
    </xf>
    <xf numFmtId="0" fontId="3" fillId="2" borderId="2" xfId="0" applyFont="1" applyFill="1" applyBorder="1" applyAlignment="1">
      <alignment horizontal="left" vertical="center"/>
    </xf>
    <xf numFmtId="0" fontId="8" fillId="0" borderId="2" xfId="0" applyFont="1" applyBorder="1" applyAlignment="1">
      <alignment vertical="center" wrapText="1"/>
    </xf>
    <xf numFmtId="0" fontId="4" fillId="2" borderId="0" xfId="0" applyFont="1" applyFill="1" applyAlignment="1">
      <alignment horizontal="right" vertical="center"/>
    </xf>
    <xf numFmtId="0" fontId="4" fillId="2" borderId="0" xfId="0" applyFont="1" applyFill="1" applyAlignment="1">
      <alignment horizontal="left" vertical="center" wrapText="1"/>
    </xf>
    <xf numFmtId="164" fontId="4" fillId="2" borderId="0" xfId="0" applyNumberFormat="1" applyFont="1" applyFill="1" applyAlignment="1">
      <alignment vertical="center"/>
    </xf>
    <xf numFmtId="164" fontId="4" fillId="2" borderId="2" xfId="3" applyNumberFormat="1" applyFont="1" applyFill="1" applyBorder="1" applyAlignment="1">
      <alignment horizontal="center" vertical="center"/>
    </xf>
    <xf numFmtId="0" fontId="4" fillId="2" borderId="2" xfId="4" applyNumberFormat="1" applyFont="1" applyFill="1" applyBorder="1" applyAlignment="1">
      <alignment horizontal="center" vertical="center"/>
    </xf>
    <xf numFmtId="0" fontId="4" fillId="2" borderId="6" xfId="0" applyFont="1" applyFill="1" applyBorder="1" applyAlignment="1">
      <alignment vertical="center"/>
    </xf>
    <xf numFmtId="0" fontId="4" fillId="2" borderId="2" xfId="7" applyFont="1" applyFill="1" applyBorder="1" applyAlignment="1">
      <alignment horizontal="left" vertical="center" wrapText="1"/>
    </xf>
    <xf numFmtId="0" fontId="7" fillId="2" borderId="2" xfId="0" applyFont="1" applyFill="1" applyBorder="1" applyAlignment="1">
      <alignment vertical="center" wrapText="1"/>
    </xf>
    <xf numFmtId="0" fontId="4" fillId="3" borderId="2" xfId="7" applyFont="1" applyFill="1" applyBorder="1" applyAlignment="1">
      <alignment horizontal="left" vertical="center"/>
    </xf>
    <xf numFmtId="0" fontId="4" fillId="3" borderId="6" xfId="7" applyFont="1" applyFill="1" applyBorder="1" applyAlignment="1">
      <alignment horizontal="left" vertical="center"/>
    </xf>
    <xf numFmtId="0" fontId="4" fillId="3" borderId="2" xfId="7"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2" xfId="3" applyFont="1" applyFill="1" applyBorder="1" applyAlignment="1">
      <alignment horizontal="center" vertical="center" wrapText="1"/>
    </xf>
    <xf numFmtId="0" fontId="13" fillId="2" borderId="2" xfId="3"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3" fillId="2" borderId="5" xfId="3"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2" borderId="0" xfId="0" applyFont="1" applyFill="1" applyAlignment="1">
      <alignment horizontal="center" vertical="center" wrapText="1"/>
    </xf>
    <xf numFmtId="0" fontId="3" fillId="2" borderId="6" xfId="0" applyFont="1" applyFill="1" applyBorder="1" applyAlignment="1">
      <alignment horizontal="left" vertical="center"/>
    </xf>
    <xf numFmtId="0" fontId="3" fillId="2" borderId="4" xfId="0" applyFont="1" applyFill="1" applyBorder="1" applyAlignment="1">
      <alignment horizontal="left" vertical="center"/>
    </xf>
    <xf numFmtId="0" fontId="3" fillId="2" borderId="0" xfId="2" applyFont="1" applyFill="1" applyAlignment="1">
      <alignment horizontal="center" vertical="center" wrapText="1"/>
    </xf>
    <xf numFmtId="0" fontId="3" fillId="2" borderId="3" xfId="3" applyFont="1" applyFill="1" applyBorder="1" applyAlignment="1">
      <alignment horizontal="center" vertical="center"/>
    </xf>
    <xf numFmtId="0" fontId="3" fillId="2" borderId="7" xfId="3" applyFont="1" applyFill="1" applyBorder="1" applyAlignment="1">
      <alignment horizontal="center" vertical="center"/>
    </xf>
    <xf numFmtId="0" fontId="3" fillId="2" borderId="3" xfId="3" applyFont="1" applyFill="1" applyBorder="1" applyAlignment="1">
      <alignment horizontal="center" vertical="center" wrapText="1"/>
    </xf>
    <xf numFmtId="0" fontId="3" fillId="2" borderId="7" xfId="3" applyFont="1" applyFill="1" applyBorder="1" applyAlignment="1">
      <alignment horizontal="center" vertical="center" wrapText="1"/>
    </xf>
    <xf numFmtId="0" fontId="3" fillId="2" borderId="3" xfId="3" applyNumberFormat="1" applyFont="1" applyFill="1" applyBorder="1" applyAlignment="1">
      <alignment horizontal="center" vertical="center" wrapText="1"/>
    </xf>
    <xf numFmtId="0" fontId="3" fillId="2" borderId="7" xfId="3" applyNumberFormat="1" applyFont="1" applyFill="1" applyBorder="1" applyAlignment="1">
      <alignment horizontal="center" vertical="center" wrapText="1"/>
    </xf>
    <xf numFmtId="165" fontId="3" fillId="2" borderId="6" xfId="1" applyNumberFormat="1" applyFont="1" applyFill="1" applyBorder="1" applyAlignment="1">
      <alignment horizontal="center" vertical="center" wrapText="1"/>
    </xf>
    <xf numFmtId="165" fontId="3" fillId="2" borderId="4" xfId="1" applyNumberFormat="1" applyFont="1" applyFill="1" applyBorder="1" applyAlignment="1">
      <alignment horizontal="center" vertical="center" wrapText="1"/>
    </xf>
    <xf numFmtId="165" fontId="3" fillId="2" borderId="5" xfId="1" applyNumberFormat="1" applyFont="1" applyFill="1" applyBorder="1" applyAlignment="1">
      <alignment horizontal="center" vertical="center" wrapText="1"/>
    </xf>
    <xf numFmtId="164" fontId="3" fillId="2" borderId="3" xfId="1" applyNumberFormat="1" applyFont="1" applyFill="1" applyBorder="1" applyAlignment="1">
      <alignment horizontal="center" vertical="center" wrapText="1"/>
    </xf>
    <xf numFmtId="164" fontId="3" fillId="2" borderId="7" xfId="1" applyNumberFormat="1" applyFont="1" applyFill="1" applyBorder="1" applyAlignment="1">
      <alignment horizontal="center" vertical="center" wrapText="1"/>
    </xf>
    <xf numFmtId="0" fontId="13" fillId="2" borderId="3" xfId="3" applyFont="1" applyFill="1" applyBorder="1" applyAlignment="1">
      <alignment horizontal="center" vertical="center" wrapText="1"/>
    </xf>
    <xf numFmtId="0" fontId="13" fillId="2" borderId="7" xfId="3" applyFont="1" applyFill="1" applyBorder="1" applyAlignment="1">
      <alignment horizontal="center" vertical="center" wrapText="1"/>
    </xf>
    <xf numFmtId="0" fontId="4" fillId="2" borderId="0" xfId="2" applyNumberFormat="1" applyFont="1" applyFill="1" applyAlignment="1">
      <alignment horizontal="center" wrapText="1"/>
    </xf>
    <xf numFmtId="0" fontId="3" fillId="2" borderId="5" xfId="0" applyFont="1" applyFill="1" applyBorder="1" applyAlignment="1">
      <alignment horizontal="left" vertical="center"/>
    </xf>
    <xf numFmtId="0" fontId="3" fillId="2" borderId="6" xfId="3" applyFont="1" applyFill="1" applyBorder="1" applyAlignment="1">
      <alignment horizontal="left" vertical="center" wrapText="1"/>
    </xf>
    <xf numFmtId="0" fontId="3" fillId="2" borderId="4" xfId="3" applyFont="1" applyFill="1" applyBorder="1" applyAlignment="1">
      <alignment horizontal="left" vertical="center" wrapText="1"/>
    </xf>
    <xf numFmtId="0" fontId="3" fillId="2" borderId="5" xfId="3" applyFont="1" applyFill="1" applyBorder="1" applyAlignment="1">
      <alignment horizontal="left" vertical="center" wrapText="1"/>
    </xf>
    <xf numFmtId="0" fontId="4" fillId="2" borderId="1" xfId="0" applyFont="1" applyFill="1" applyBorder="1" applyAlignment="1">
      <alignment horizontal="center" vertical="center"/>
    </xf>
    <xf numFmtId="0" fontId="3" fillId="2" borderId="0" xfId="2" applyFont="1" applyFill="1" applyAlignment="1">
      <alignment horizontal="center" vertical="top" wrapText="1"/>
    </xf>
    <xf numFmtId="0" fontId="4" fillId="2" borderId="0" xfId="0" applyFont="1" applyFill="1" applyBorder="1"/>
    <xf numFmtId="0" fontId="3" fillId="2" borderId="0" xfId="0" applyFont="1" applyFill="1" applyBorder="1"/>
    <xf numFmtId="0" fontId="4" fillId="2" borderId="0" xfId="0" applyFont="1" applyFill="1" applyBorder="1" applyAlignment="1">
      <alignment vertical="center"/>
    </xf>
    <xf numFmtId="0" fontId="6" fillId="2" borderId="0" xfId="0" applyFont="1" applyFill="1" applyBorder="1"/>
    <xf numFmtId="0" fontId="11" fillId="2" borderId="0" xfId="0" applyFont="1" applyFill="1" applyBorder="1" applyAlignment="1">
      <alignment vertical="center" wrapText="1"/>
    </xf>
    <xf numFmtId="0" fontId="4" fillId="2" borderId="0" xfId="0" applyFont="1" applyFill="1" applyBorder="1" applyAlignment="1">
      <alignment horizontal="center" vertical="center"/>
    </xf>
  </cellXfs>
  <cellStyles count="8">
    <cellStyle name="Comma" xfId="1" builtinId="3"/>
    <cellStyle name="Comma 2" xfId="6" xr:uid="{B993EAF4-67A0-44BE-9C91-29D861F84CFA}"/>
    <cellStyle name="Comma 9 4 2" xfId="4" xr:uid="{1BDC1673-4D6F-40E4-BFCC-4E5512C7CD9A}"/>
    <cellStyle name="Normal" xfId="0" builtinId="0"/>
    <cellStyle name="Normal 10 2" xfId="2" xr:uid="{AC785266-1538-44A9-91DD-6CA98855F28B}"/>
    <cellStyle name="Normal 17 2" xfId="3" xr:uid="{E357419D-5045-4BB6-B2B3-E3D1AC572A44}"/>
    <cellStyle name="Normal 17 2 4" xfId="5" xr:uid="{4B0F6BB9-BCB1-4C8B-98D9-11DE618CDEE3}"/>
    <cellStyle name="Normal 2" xfId="7" xr:uid="{BF3CB1F9-26A8-4DD6-B088-59FFE13988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424296</xdr:colOff>
      <xdr:row>1</xdr:row>
      <xdr:rowOff>86591</xdr:rowOff>
    </xdr:from>
    <xdr:to>
      <xdr:col>1</xdr:col>
      <xdr:colOff>2159578</xdr:colOff>
      <xdr:row>1</xdr:row>
      <xdr:rowOff>86591</xdr:rowOff>
    </xdr:to>
    <xdr:cxnSp macro="">
      <xdr:nvCxnSpPr>
        <xdr:cNvPr id="3" name="Straight Connector 2">
          <a:extLst>
            <a:ext uri="{FF2B5EF4-FFF2-40B4-BE49-F238E27FC236}">
              <a16:creationId xmlns:a16="http://schemas.microsoft.com/office/drawing/2014/main" id="{C96413F1-6E36-48E9-9F88-A530AC29CC1C}"/>
            </a:ext>
          </a:extLst>
        </xdr:cNvPr>
        <xdr:cNvCxnSpPr/>
      </xdr:nvCxnSpPr>
      <xdr:spPr>
        <a:xfrm>
          <a:off x="744682" y="346364"/>
          <a:ext cx="173528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95251</xdr:colOff>
      <xdr:row>1</xdr:row>
      <xdr:rowOff>86590</xdr:rowOff>
    </xdr:from>
    <xdr:to>
      <xdr:col>11</xdr:col>
      <xdr:colOff>640773</xdr:colOff>
      <xdr:row>1</xdr:row>
      <xdr:rowOff>86590</xdr:rowOff>
    </xdr:to>
    <xdr:cxnSp macro="">
      <xdr:nvCxnSpPr>
        <xdr:cNvPr id="5" name="Straight Connector 4">
          <a:extLst>
            <a:ext uri="{FF2B5EF4-FFF2-40B4-BE49-F238E27FC236}">
              <a16:creationId xmlns:a16="http://schemas.microsoft.com/office/drawing/2014/main" id="{EBEFF6F3-6DEC-45FD-878D-544F0F712A08}"/>
            </a:ext>
          </a:extLst>
        </xdr:cNvPr>
        <xdr:cNvCxnSpPr/>
      </xdr:nvCxnSpPr>
      <xdr:spPr>
        <a:xfrm>
          <a:off x="6849342" y="346363"/>
          <a:ext cx="128154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4279-6A55-495C-BC11-669F6470E30A}">
  <sheetPr>
    <pageSetUpPr fitToPage="1"/>
  </sheetPr>
  <dimension ref="A1:R175"/>
  <sheetViews>
    <sheetView tabSelected="1" topLeftCell="A123" zoomScale="110" zoomScaleNormal="110" workbookViewId="0">
      <selection activeCell="G130" sqref="G130"/>
    </sheetView>
  </sheetViews>
  <sheetFormatPr defaultRowHeight="12" x14ac:dyDescent="0.2"/>
  <cols>
    <col min="1" max="1" width="4.85546875" style="30" customWidth="1"/>
    <col min="2" max="2" width="32.42578125" style="30" customWidth="1"/>
    <col min="3" max="3" width="11.140625" style="30" customWidth="1"/>
    <col min="4" max="4" width="9.140625" style="3"/>
    <col min="5" max="5" width="8.5703125" style="30" customWidth="1"/>
    <col min="6" max="6" width="6.140625" style="30" customWidth="1"/>
    <col min="7" max="7" width="5.5703125" style="64" customWidth="1"/>
    <col min="8" max="8" width="5" style="64" customWidth="1"/>
    <col min="9" max="9" width="6.42578125" style="64" customWidth="1"/>
    <col min="10" max="11" width="11" style="30" customWidth="1"/>
    <col min="12" max="12" width="12.28515625" style="30" customWidth="1"/>
    <col min="13" max="13" width="7.85546875" style="17" customWidth="1"/>
    <col min="14" max="14" width="8.5703125" style="114" customWidth="1"/>
    <col min="15" max="15" width="7.42578125" style="30" customWidth="1"/>
    <col min="16" max="17" width="9.140625" style="30"/>
    <col min="18" max="18" width="9.140625" style="138"/>
    <col min="19" max="16384" width="9.140625" style="30"/>
  </cols>
  <sheetData>
    <row r="1" spans="1:18" ht="20.25" customHeight="1" x14ac:dyDescent="0.2">
      <c r="A1" s="137" t="s">
        <v>165</v>
      </c>
      <c r="B1" s="137"/>
      <c r="C1" s="137"/>
      <c r="D1" s="58"/>
      <c r="E1" s="1"/>
      <c r="F1" s="1"/>
      <c r="G1" s="63"/>
      <c r="H1" s="63"/>
      <c r="I1" s="131" t="s">
        <v>266</v>
      </c>
      <c r="J1" s="131"/>
      <c r="K1" s="131"/>
      <c r="L1" s="131"/>
      <c r="M1" s="131"/>
      <c r="N1" s="131"/>
    </row>
    <row r="2" spans="1:18" ht="29.25" customHeight="1" x14ac:dyDescent="0.2">
      <c r="A2" s="137"/>
      <c r="B2" s="137"/>
      <c r="C2" s="137"/>
      <c r="E2" s="1"/>
      <c r="F2" s="1"/>
      <c r="G2" s="63"/>
      <c r="H2" s="63"/>
      <c r="I2" s="131"/>
      <c r="J2" s="131"/>
      <c r="K2" s="131"/>
      <c r="L2" s="131"/>
      <c r="M2" s="131"/>
      <c r="N2" s="131"/>
    </row>
    <row r="3" spans="1:18" ht="18" customHeight="1" x14ac:dyDescent="0.2">
      <c r="A3" s="117" t="s">
        <v>265</v>
      </c>
      <c r="B3" s="117"/>
      <c r="C3" s="117"/>
      <c r="D3" s="117"/>
      <c r="E3" s="117"/>
      <c r="F3" s="117"/>
      <c r="G3" s="117"/>
      <c r="H3" s="117"/>
      <c r="I3" s="117"/>
      <c r="J3" s="117"/>
      <c r="K3" s="117"/>
      <c r="L3" s="117"/>
      <c r="M3" s="117"/>
      <c r="N3" s="117"/>
    </row>
    <row r="4" spans="1:18" ht="19.5" customHeight="1" x14ac:dyDescent="0.2">
      <c r="B4" s="29"/>
      <c r="E4" s="17"/>
      <c r="J4" s="2"/>
      <c r="K4" s="31"/>
      <c r="L4" s="32"/>
      <c r="M4" s="136" t="s">
        <v>3</v>
      </c>
      <c r="N4" s="136"/>
    </row>
    <row r="5" spans="1:18" s="80" customFormat="1" ht="33.75" customHeight="1" x14ac:dyDescent="0.2">
      <c r="A5" s="118" t="s">
        <v>4</v>
      </c>
      <c r="B5" s="118" t="s">
        <v>5</v>
      </c>
      <c r="C5" s="120" t="s">
        <v>139</v>
      </c>
      <c r="D5" s="120" t="s">
        <v>251</v>
      </c>
      <c r="E5" s="120" t="s">
        <v>6</v>
      </c>
      <c r="F5" s="120" t="s">
        <v>7</v>
      </c>
      <c r="G5" s="122" t="s">
        <v>8</v>
      </c>
      <c r="H5" s="122" t="s">
        <v>9</v>
      </c>
      <c r="I5" s="122" t="s">
        <v>10</v>
      </c>
      <c r="J5" s="124" t="s">
        <v>11</v>
      </c>
      <c r="K5" s="125"/>
      <c r="L5" s="126"/>
      <c r="M5" s="127" t="s">
        <v>12</v>
      </c>
      <c r="N5" s="129" t="s">
        <v>13</v>
      </c>
      <c r="R5" s="139"/>
    </row>
    <row r="6" spans="1:18" s="80" customFormat="1" ht="60" x14ac:dyDescent="0.2">
      <c r="A6" s="119"/>
      <c r="B6" s="119"/>
      <c r="C6" s="121"/>
      <c r="D6" s="121"/>
      <c r="E6" s="121"/>
      <c r="F6" s="121"/>
      <c r="G6" s="123"/>
      <c r="H6" s="123"/>
      <c r="I6" s="123"/>
      <c r="J6" s="61" t="s">
        <v>137</v>
      </c>
      <c r="K6" s="61" t="s">
        <v>138</v>
      </c>
      <c r="L6" s="61" t="s">
        <v>116</v>
      </c>
      <c r="M6" s="128"/>
      <c r="N6" s="130"/>
      <c r="R6" s="139"/>
    </row>
    <row r="7" spans="1:18" ht="17.25" customHeight="1" x14ac:dyDescent="0.2">
      <c r="A7" s="11" t="s">
        <v>48</v>
      </c>
      <c r="B7" s="115" t="s">
        <v>153</v>
      </c>
      <c r="C7" s="116"/>
      <c r="D7" s="132"/>
      <c r="E7" s="56"/>
      <c r="F7" s="56"/>
      <c r="G7" s="65">
        <f>G8+G9</f>
        <v>55</v>
      </c>
      <c r="H7" s="65">
        <f t="shared" ref="H7:L7" si="0">H8+H9</f>
        <v>0</v>
      </c>
      <c r="I7" s="65">
        <f>I8+I9</f>
        <v>797</v>
      </c>
      <c r="J7" s="40">
        <f t="shared" si="0"/>
        <v>971860000</v>
      </c>
      <c r="K7" s="40">
        <f t="shared" si="0"/>
        <v>316700000</v>
      </c>
      <c r="L7" s="40">
        <f t="shared" si="0"/>
        <v>1333560000</v>
      </c>
      <c r="M7" s="57"/>
      <c r="N7" s="106"/>
    </row>
    <row r="8" spans="1:18" s="80" customFormat="1" ht="17.25" customHeight="1" x14ac:dyDescent="0.2">
      <c r="A8" s="11" t="s">
        <v>0</v>
      </c>
      <c r="B8" s="38" t="s">
        <v>170</v>
      </c>
      <c r="C8" s="60"/>
      <c r="D8" s="60"/>
      <c r="E8" s="60"/>
      <c r="F8" s="60"/>
      <c r="G8" s="65"/>
      <c r="H8" s="65"/>
      <c r="I8" s="65"/>
      <c r="J8" s="61"/>
      <c r="K8" s="61"/>
      <c r="L8" s="61"/>
      <c r="M8" s="61"/>
      <c r="N8" s="107"/>
      <c r="R8" s="139"/>
    </row>
    <row r="9" spans="1:18" ht="17.25" customHeight="1" x14ac:dyDescent="0.2">
      <c r="A9" s="59" t="s">
        <v>2</v>
      </c>
      <c r="B9" s="36" t="s">
        <v>1</v>
      </c>
      <c r="C9" s="7"/>
      <c r="D9" s="59"/>
      <c r="E9" s="60"/>
      <c r="F9" s="60"/>
      <c r="G9" s="70">
        <f>G12+G16+G29+G33+G44+G54</f>
        <v>55</v>
      </c>
      <c r="H9" s="70">
        <f>H12+H16+H29+H33+H44+H54</f>
        <v>0</v>
      </c>
      <c r="I9" s="70">
        <f>I12+I16+I29+I33+I44+I54+I26</f>
        <v>797</v>
      </c>
      <c r="J9" s="5">
        <f>J12+J16+J29+J33+J44+J54+J24+J26</f>
        <v>971860000</v>
      </c>
      <c r="K9" s="5">
        <f>K12+K16+K29+K33+K44+K54</f>
        <v>316700000</v>
      </c>
      <c r="L9" s="5">
        <f>L12+L16+L24+L26+L29+L33+L44+L54</f>
        <v>1333560000</v>
      </c>
      <c r="M9" s="14"/>
      <c r="N9" s="105"/>
    </row>
    <row r="10" spans="1:18" ht="17.25" customHeight="1" x14ac:dyDescent="0.2">
      <c r="A10" s="20" t="s">
        <v>49</v>
      </c>
      <c r="B10" s="21" t="s">
        <v>92</v>
      </c>
      <c r="C10" s="7"/>
      <c r="D10" s="20"/>
      <c r="E10" s="21"/>
      <c r="F10" s="20"/>
      <c r="G10" s="66"/>
      <c r="H10" s="67"/>
      <c r="I10" s="68"/>
      <c r="J10" s="18"/>
      <c r="K10" s="18"/>
      <c r="L10" s="18"/>
      <c r="M10" s="14"/>
      <c r="N10" s="105"/>
    </row>
    <row r="11" spans="1:18" ht="17.25" customHeight="1" x14ac:dyDescent="0.2">
      <c r="A11" s="20">
        <v>1</v>
      </c>
      <c r="B11" s="21" t="s">
        <v>93</v>
      </c>
      <c r="C11" s="7"/>
      <c r="D11" s="20"/>
      <c r="E11" s="23"/>
      <c r="F11" s="20"/>
      <c r="G11" s="66"/>
      <c r="H11" s="69"/>
      <c r="I11" s="67"/>
      <c r="J11" s="18"/>
      <c r="K11" s="18"/>
      <c r="L11" s="18"/>
      <c r="M11" s="14"/>
      <c r="N11" s="105"/>
    </row>
    <row r="12" spans="1:18" ht="17.25" customHeight="1" x14ac:dyDescent="0.2">
      <c r="A12" s="20" t="s">
        <v>168</v>
      </c>
      <c r="B12" s="21" t="s">
        <v>122</v>
      </c>
      <c r="C12" s="7"/>
      <c r="D12" s="20"/>
      <c r="E12" s="20"/>
      <c r="F12" s="56"/>
      <c r="G12" s="70">
        <f t="shared" ref="G12:K12" si="1">SUM(G13:G15)</f>
        <v>5</v>
      </c>
      <c r="H12" s="70">
        <f t="shared" si="1"/>
        <v>0</v>
      </c>
      <c r="I12" s="70">
        <f t="shared" si="1"/>
        <v>10</v>
      </c>
      <c r="J12" s="5">
        <f t="shared" si="1"/>
        <v>301860000</v>
      </c>
      <c r="K12" s="5">
        <f t="shared" si="1"/>
        <v>0</v>
      </c>
      <c r="L12" s="5">
        <f>SUM(L13:L15)</f>
        <v>346860000</v>
      </c>
      <c r="N12" s="106"/>
    </row>
    <row r="13" spans="1:18" s="29" customFormat="1" ht="30.75" customHeight="1" x14ac:dyDescent="0.25">
      <c r="A13" s="7" t="s">
        <v>94</v>
      </c>
      <c r="B13" s="15" t="s">
        <v>132</v>
      </c>
      <c r="C13" s="56" t="s">
        <v>239</v>
      </c>
      <c r="D13" s="13" t="s">
        <v>115</v>
      </c>
      <c r="E13" s="33" t="s">
        <v>124</v>
      </c>
      <c r="F13" s="56" t="s">
        <v>95</v>
      </c>
      <c r="G13" s="75">
        <v>1</v>
      </c>
      <c r="H13" s="71"/>
      <c r="I13" s="71">
        <v>3</v>
      </c>
      <c r="J13" s="18">
        <v>127600000</v>
      </c>
      <c r="K13" s="18"/>
      <c r="L13" s="18">
        <f>J13+K13</f>
        <v>127600000</v>
      </c>
      <c r="M13" s="56" t="s">
        <v>183</v>
      </c>
      <c r="N13" s="106"/>
      <c r="R13" s="140"/>
    </row>
    <row r="14" spans="1:18" s="29" customFormat="1" ht="18.75" customHeight="1" x14ac:dyDescent="0.25">
      <c r="A14" s="7" t="s">
        <v>76</v>
      </c>
      <c r="B14" s="15" t="s">
        <v>224</v>
      </c>
      <c r="C14" s="56" t="s">
        <v>22</v>
      </c>
      <c r="D14" s="13" t="s">
        <v>115</v>
      </c>
      <c r="E14" s="33" t="s">
        <v>14</v>
      </c>
      <c r="F14" s="56" t="s">
        <v>225</v>
      </c>
      <c r="G14" s="75">
        <v>2</v>
      </c>
      <c r="H14" s="71"/>
      <c r="I14" s="71">
        <v>3</v>
      </c>
      <c r="J14" s="18">
        <v>45000000</v>
      </c>
      <c r="K14" s="18"/>
      <c r="L14" s="18">
        <f>J14*G14</f>
        <v>90000000</v>
      </c>
      <c r="M14" s="57" t="s">
        <v>184</v>
      </c>
      <c r="N14" s="106"/>
      <c r="R14" s="140"/>
    </row>
    <row r="15" spans="1:18" s="29" customFormat="1" ht="24" x14ac:dyDescent="0.25">
      <c r="A15" s="7" t="s">
        <v>77</v>
      </c>
      <c r="B15" s="15" t="s">
        <v>123</v>
      </c>
      <c r="C15" s="56" t="s">
        <v>22</v>
      </c>
      <c r="D15" s="13" t="s">
        <v>115</v>
      </c>
      <c r="E15" s="33" t="s">
        <v>124</v>
      </c>
      <c r="F15" s="56" t="s">
        <v>95</v>
      </c>
      <c r="G15" s="75">
        <v>2</v>
      </c>
      <c r="H15" s="71"/>
      <c r="I15" s="71">
        <v>4</v>
      </c>
      <c r="J15" s="18">
        <v>129260000</v>
      </c>
      <c r="K15" s="18"/>
      <c r="L15" s="18">
        <f t="shared" ref="L15:L27" si="2">J15+K15</f>
        <v>129260000</v>
      </c>
      <c r="M15" s="57" t="s">
        <v>183</v>
      </c>
      <c r="N15" s="105"/>
      <c r="R15" s="140"/>
    </row>
    <row r="16" spans="1:18" ht="17.25" customHeight="1" x14ac:dyDescent="0.2">
      <c r="A16" s="8" t="s">
        <v>171</v>
      </c>
      <c r="B16" s="37" t="s">
        <v>29</v>
      </c>
      <c r="C16" s="13"/>
      <c r="D16" s="8"/>
      <c r="E16" s="33"/>
      <c r="F16" s="60"/>
      <c r="G16" s="70">
        <f t="shared" ref="G16:K16" si="3">SUM(G17:G23)</f>
        <v>18</v>
      </c>
      <c r="H16" s="70">
        <f t="shared" si="3"/>
        <v>0</v>
      </c>
      <c r="I16" s="70">
        <f t="shared" si="3"/>
        <v>48</v>
      </c>
      <c r="J16" s="5">
        <f>SUM(J17:J23)</f>
        <v>158600000</v>
      </c>
      <c r="K16" s="5">
        <f t="shared" si="3"/>
        <v>0</v>
      </c>
      <c r="L16" s="5">
        <f>SUM(L17:L23)</f>
        <v>158600000</v>
      </c>
      <c r="M16" s="14"/>
      <c r="N16" s="105"/>
    </row>
    <row r="17" spans="1:18" s="29" customFormat="1" ht="23.25" customHeight="1" x14ac:dyDescent="0.25">
      <c r="A17" s="7" t="s">
        <v>79</v>
      </c>
      <c r="B17" s="26" t="s">
        <v>21</v>
      </c>
      <c r="C17" s="13" t="s">
        <v>22</v>
      </c>
      <c r="D17" s="13" t="s">
        <v>115</v>
      </c>
      <c r="E17" s="33" t="s">
        <v>14</v>
      </c>
      <c r="F17" s="56" t="s">
        <v>96</v>
      </c>
      <c r="G17" s="75">
        <v>3</v>
      </c>
      <c r="H17" s="73"/>
      <c r="I17" s="72">
        <v>5</v>
      </c>
      <c r="J17" s="18">
        <v>26000000</v>
      </c>
      <c r="K17" s="18"/>
      <c r="L17" s="18">
        <f t="shared" si="2"/>
        <v>26000000</v>
      </c>
      <c r="M17" s="14" t="s">
        <v>186</v>
      </c>
      <c r="N17" s="105"/>
      <c r="R17" s="140"/>
    </row>
    <row r="18" spans="1:18" s="29" customFormat="1" ht="23.25" customHeight="1" x14ac:dyDescent="0.25">
      <c r="A18" s="7" t="s">
        <v>78</v>
      </c>
      <c r="B18" s="26" t="s">
        <v>23</v>
      </c>
      <c r="C18" s="13" t="s">
        <v>24</v>
      </c>
      <c r="D18" s="13" t="s">
        <v>115</v>
      </c>
      <c r="E18" s="33" t="s">
        <v>14</v>
      </c>
      <c r="F18" s="56" t="s">
        <v>96</v>
      </c>
      <c r="G18" s="75">
        <v>4</v>
      </c>
      <c r="H18" s="73"/>
      <c r="I18" s="72">
        <v>13</v>
      </c>
      <c r="J18" s="18">
        <v>35000000</v>
      </c>
      <c r="K18" s="18"/>
      <c r="L18" s="18">
        <f t="shared" si="2"/>
        <v>35000000</v>
      </c>
      <c r="M18" s="14" t="s">
        <v>71</v>
      </c>
      <c r="N18" s="105"/>
      <c r="R18" s="140"/>
    </row>
    <row r="19" spans="1:18" s="29" customFormat="1" ht="23.25" customHeight="1" x14ac:dyDescent="0.25">
      <c r="A19" s="7" t="s">
        <v>80</v>
      </c>
      <c r="B19" s="15" t="s">
        <v>226</v>
      </c>
      <c r="C19" s="13" t="s">
        <v>22</v>
      </c>
      <c r="D19" s="13" t="s">
        <v>115</v>
      </c>
      <c r="E19" s="33" t="s">
        <v>14</v>
      </c>
      <c r="F19" s="56" t="s">
        <v>96</v>
      </c>
      <c r="G19" s="75">
        <v>2</v>
      </c>
      <c r="H19" s="73"/>
      <c r="I19" s="72">
        <v>2</v>
      </c>
      <c r="J19" s="18">
        <v>17500000</v>
      </c>
      <c r="K19" s="18"/>
      <c r="L19" s="18">
        <f t="shared" si="2"/>
        <v>17500000</v>
      </c>
      <c r="M19" s="14" t="s">
        <v>185</v>
      </c>
      <c r="N19" s="105"/>
      <c r="R19" s="140"/>
    </row>
    <row r="20" spans="1:18" s="29" customFormat="1" ht="22.5" customHeight="1" x14ac:dyDescent="0.25">
      <c r="A20" s="7" t="s">
        <v>81</v>
      </c>
      <c r="B20" s="26" t="s">
        <v>34</v>
      </c>
      <c r="C20" s="13" t="s">
        <v>111</v>
      </c>
      <c r="D20" s="13" t="s">
        <v>115</v>
      </c>
      <c r="E20" s="33" t="s">
        <v>14</v>
      </c>
      <c r="F20" s="56" t="s">
        <v>96</v>
      </c>
      <c r="G20" s="75">
        <v>2</v>
      </c>
      <c r="H20" s="73"/>
      <c r="I20" s="72">
        <v>11</v>
      </c>
      <c r="J20" s="18">
        <v>18500000</v>
      </c>
      <c r="K20" s="18"/>
      <c r="L20" s="18">
        <f t="shared" si="2"/>
        <v>18500000</v>
      </c>
      <c r="M20" s="14" t="s">
        <v>71</v>
      </c>
      <c r="N20" s="105"/>
      <c r="R20" s="140"/>
    </row>
    <row r="21" spans="1:18" s="29" customFormat="1" ht="23.25" customHeight="1" x14ac:dyDescent="0.25">
      <c r="A21" s="7" t="s">
        <v>82</v>
      </c>
      <c r="B21" s="26" t="s">
        <v>112</v>
      </c>
      <c r="C21" s="13" t="s">
        <v>125</v>
      </c>
      <c r="D21" s="13" t="s">
        <v>115</v>
      </c>
      <c r="E21" s="33" t="s">
        <v>124</v>
      </c>
      <c r="F21" s="56" t="s">
        <v>96</v>
      </c>
      <c r="G21" s="75">
        <v>3</v>
      </c>
      <c r="H21" s="71"/>
      <c r="I21" s="71">
        <v>10</v>
      </c>
      <c r="J21" s="18">
        <v>26500000</v>
      </c>
      <c r="K21" s="18"/>
      <c r="L21" s="18">
        <f t="shared" si="2"/>
        <v>26500000</v>
      </c>
      <c r="M21" s="14" t="s">
        <v>186</v>
      </c>
      <c r="N21" s="105"/>
      <c r="R21" s="140"/>
    </row>
    <row r="22" spans="1:18" s="29" customFormat="1" ht="23.25" customHeight="1" x14ac:dyDescent="0.25">
      <c r="A22" s="7" t="s">
        <v>169</v>
      </c>
      <c r="B22" s="26" t="s">
        <v>113</v>
      </c>
      <c r="C22" s="13" t="s">
        <v>126</v>
      </c>
      <c r="D22" s="13" t="s">
        <v>115</v>
      </c>
      <c r="E22" s="33" t="s">
        <v>124</v>
      </c>
      <c r="F22" s="56" t="s">
        <v>96</v>
      </c>
      <c r="G22" s="75">
        <v>2</v>
      </c>
      <c r="H22" s="71"/>
      <c r="I22" s="71">
        <v>5</v>
      </c>
      <c r="J22" s="18">
        <v>17600000</v>
      </c>
      <c r="K22" s="18"/>
      <c r="L22" s="18">
        <f t="shared" si="2"/>
        <v>17600000</v>
      </c>
      <c r="M22" s="14" t="s">
        <v>184</v>
      </c>
      <c r="N22" s="105"/>
      <c r="R22" s="140"/>
    </row>
    <row r="23" spans="1:18" s="29" customFormat="1" ht="23.25" customHeight="1" x14ac:dyDescent="0.25">
      <c r="A23" s="7" t="s">
        <v>227</v>
      </c>
      <c r="B23" s="15" t="s">
        <v>114</v>
      </c>
      <c r="C23" s="13" t="s">
        <v>59</v>
      </c>
      <c r="D23" s="13" t="s">
        <v>115</v>
      </c>
      <c r="E23" s="33" t="s">
        <v>124</v>
      </c>
      <c r="F23" s="56" t="s">
        <v>96</v>
      </c>
      <c r="G23" s="75">
        <v>2</v>
      </c>
      <c r="H23" s="71"/>
      <c r="I23" s="71">
        <v>2</v>
      </c>
      <c r="J23" s="18">
        <v>17500000</v>
      </c>
      <c r="K23" s="18"/>
      <c r="L23" s="18">
        <f t="shared" si="2"/>
        <v>17500000</v>
      </c>
      <c r="M23" s="14" t="s">
        <v>185</v>
      </c>
      <c r="N23" s="105"/>
      <c r="R23" s="140"/>
    </row>
    <row r="24" spans="1:18" s="82" customFormat="1" ht="23.25" customHeight="1" x14ac:dyDescent="0.2">
      <c r="A24" s="20" t="s">
        <v>172</v>
      </c>
      <c r="B24" s="37" t="s">
        <v>50</v>
      </c>
      <c r="C24" s="8"/>
      <c r="D24" s="8"/>
      <c r="E24" s="12"/>
      <c r="F24" s="39"/>
      <c r="G24" s="77"/>
      <c r="H24" s="66"/>
      <c r="I24" s="66"/>
      <c r="J24" s="81">
        <v>50000000</v>
      </c>
      <c r="K24" s="81"/>
      <c r="L24" s="81">
        <f t="shared" si="2"/>
        <v>50000000</v>
      </c>
      <c r="M24" s="12"/>
      <c r="N24" s="108"/>
      <c r="R24" s="141"/>
    </row>
    <row r="25" spans="1:18" ht="36" x14ac:dyDescent="0.2">
      <c r="A25" s="7" t="s">
        <v>200</v>
      </c>
      <c r="B25" s="10" t="s">
        <v>197</v>
      </c>
      <c r="C25" s="13" t="s">
        <v>207</v>
      </c>
      <c r="D25" s="13" t="s">
        <v>115</v>
      </c>
      <c r="E25" s="33" t="s">
        <v>124</v>
      </c>
      <c r="F25" s="56" t="s">
        <v>198</v>
      </c>
      <c r="G25" s="75">
        <v>1</v>
      </c>
      <c r="H25" s="71"/>
      <c r="I25" s="71">
        <v>10</v>
      </c>
      <c r="J25" s="18">
        <v>50000000</v>
      </c>
      <c r="K25" s="18"/>
      <c r="L25" s="18">
        <f t="shared" si="2"/>
        <v>50000000</v>
      </c>
      <c r="M25" s="14"/>
      <c r="N25" s="105" t="s">
        <v>199</v>
      </c>
    </row>
    <row r="26" spans="1:18" ht="17.25" customHeight="1" x14ac:dyDescent="0.2">
      <c r="A26" s="12" t="s">
        <v>173</v>
      </c>
      <c r="B26" s="24" t="s">
        <v>51</v>
      </c>
      <c r="C26" s="14"/>
      <c r="D26" s="12"/>
      <c r="E26" s="24"/>
      <c r="F26" s="56"/>
      <c r="G26" s="70">
        <f t="shared" ref="G26:K26" si="4">G27</f>
        <v>1</v>
      </c>
      <c r="H26" s="70">
        <f t="shared" si="4"/>
        <v>0</v>
      </c>
      <c r="I26" s="70">
        <f t="shared" si="4"/>
        <v>1</v>
      </c>
      <c r="J26" s="5">
        <f t="shared" si="4"/>
        <v>6300000</v>
      </c>
      <c r="K26" s="5">
        <f t="shared" si="4"/>
        <v>0</v>
      </c>
      <c r="L26" s="5">
        <f>L27</f>
        <v>6300000</v>
      </c>
      <c r="M26" s="14"/>
      <c r="N26" s="105"/>
    </row>
    <row r="27" spans="1:18" ht="17.25" customHeight="1" x14ac:dyDescent="0.2">
      <c r="A27" s="14" t="s">
        <v>201</v>
      </c>
      <c r="B27" s="33" t="s">
        <v>178</v>
      </c>
      <c r="C27" s="13" t="s">
        <v>24</v>
      </c>
      <c r="D27" s="13" t="s">
        <v>115</v>
      </c>
      <c r="E27" s="33" t="s">
        <v>14</v>
      </c>
      <c r="F27" s="56" t="s">
        <v>96</v>
      </c>
      <c r="G27" s="75">
        <v>1</v>
      </c>
      <c r="H27" s="71"/>
      <c r="I27" s="71">
        <v>1</v>
      </c>
      <c r="J27" s="18">
        <v>6300000</v>
      </c>
      <c r="K27" s="18"/>
      <c r="L27" s="18">
        <f t="shared" si="2"/>
        <v>6300000</v>
      </c>
      <c r="M27" s="14" t="s">
        <v>185</v>
      </c>
      <c r="N27" s="105"/>
    </row>
    <row r="28" spans="1:18" ht="17.25" customHeight="1" x14ac:dyDescent="0.2">
      <c r="A28" s="12" t="s">
        <v>174</v>
      </c>
      <c r="B28" s="24" t="s">
        <v>52</v>
      </c>
      <c r="C28" s="14"/>
      <c r="D28" s="12"/>
      <c r="E28" s="24"/>
      <c r="F28" s="25"/>
      <c r="G28" s="70"/>
      <c r="H28" s="70"/>
      <c r="I28" s="70"/>
      <c r="J28" s="18"/>
      <c r="K28" s="18"/>
      <c r="L28" s="18"/>
      <c r="M28" s="14"/>
      <c r="N28" s="105"/>
    </row>
    <row r="29" spans="1:18" ht="17.25" customHeight="1" x14ac:dyDescent="0.2">
      <c r="A29" s="9" t="s">
        <v>175</v>
      </c>
      <c r="B29" s="35" t="s">
        <v>53</v>
      </c>
      <c r="C29" s="9"/>
      <c r="D29" s="9"/>
      <c r="E29" s="9"/>
      <c r="F29" s="22"/>
      <c r="G29" s="70">
        <f t="shared" ref="G29:K29" si="5">SUM(G30:G32)</f>
        <v>11</v>
      </c>
      <c r="H29" s="70">
        <f t="shared" si="5"/>
        <v>0</v>
      </c>
      <c r="I29" s="70">
        <f t="shared" si="5"/>
        <v>402</v>
      </c>
      <c r="J29" s="5">
        <f t="shared" si="5"/>
        <v>233800000</v>
      </c>
      <c r="K29" s="5">
        <f t="shared" si="5"/>
        <v>316700000</v>
      </c>
      <c r="L29" s="5">
        <f>SUM(L30:L32)</f>
        <v>550500000</v>
      </c>
      <c r="M29" s="11"/>
      <c r="N29" s="109"/>
    </row>
    <row r="30" spans="1:18" s="29" customFormat="1" ht="62.25" customHeight="1" x14ac:dyDescent="0.25">
      <c r="A30" s="13" t="s">
        <v>97</v>
      </c>
      <c r="B30" s="42" t="s">
        <v>267</v>
      </c>
      <c r="C30" s="26" t="s">
        <v>166</v>
      </c>
      <c r="D30" s="13" t="s">
        <v>115</v>
      </c>
      <c r="E30" s="13" t="s">
        <v>115</v>
      </c>
      <c r="F30" s="97" t="s">
        <v>98</v>
      </c>
      <c r="G30" s="98">
        <v>8</v>
      </c>
      <c r="H30" s="98"/>
      <c r="I30" s="72">
        <v>370</v>
      </c>
      <c r="J30" s="18">
        <v>211600000</v>
      </c>
      <c r="K30" s="18">
        <v>244900000</v>
      </c>
      <c r="L30" s="18">
        <f>J30+K30</f>
        <v>456500000</v>
      </c>
      <c r="M30" s="13" t="s">
        <v>188</v>
      </c>
      <c r="N30" s="105"/>
      <c r="R30" s="140"/>
    </row>
    <row r="31" spans="1:18" s="29" customFormat="1" ht="24" x14ac:dyDescent="0.25">
      <c r="A31" s="13" t="s">
        <v>99</v>
      </c>
      <c r="B31" s="26" t="s">
        <v>117</v>
      </c>
      <c r="C31" s="13" t="s">
        <v>190</v>
      </c>
      <c r="D31" s="13" t="s">
        <v>115</v>
      </c>
      <c r="E31" s="13" t="s">
        <v>115</v>
      </c>
      <c r="F31" s="97" t="s">
        <v>98</v>
      </c>
      <c r="G31" s="98">
        <v>2</v>
      </c>
      <c r="H31" s="98"/>
      <c r="I31" s="72">
        <v>30</v>
      </c>
      <c r="J31" s="18">
        <v>15900000</v>
      </c>
      <c r="K31" s="18">
        <v>71800000</v>
      </c>
      <c r="L31" s="18">
        <f t="shared" ref="L31:L56" si="6">J31+K31</f>
        <v>87700000</v>
      </c>
      <c r="M31" s="14" t="s">
        <v>189</v>
      </c>
      <c r="N31" s="105"/>
      <c r="R31" s="140"/>
    </row>
    <row r="32" spans="1:18" s="29" customFormat="1" ht="60" x14ac:dyDescent="0.25">
      <c r="A32" s="13" t="s">
        <v>100</v>
      </c>
      <c r="B32" s="26" t="s">
        <v>180</v>
      </c>
      <c r="C32" s="13" t="s">
        <v>181</v>
      </c>
      <c r="D32" s="13" t="s">
        <v>115</v>
      </c>
      <c r="E32" s="13" t="s">
        <v>143</v>
      </c>
      <c r="F32" s="97" t="s">
        <v>154</v>
      </c>
      <c r="G32" s="98">
        <v>1</v>
      </c>
      <c r="H32" s="98"/>
      <c r="I32" s="72">
        <v>2</v>
      </c>
      <c r="J32" s="18">
        <v>6300000</v>
      </c>
      <c r="K32" s="18"/>
      <c r="L32" s="18">
        <f t="shared" si="6"/>
        <v>6300000</v>
      </c>
      <c r="M32" s="14" t="s">
        <v>191</v>
      </c>
      <c r="N32" s="105"/>
      <c r="R32" s="140"/>
    </row>
    <row r="33" spans="1:18" ht="18.75" customHeight="1" x14ac:dyDescent="0.2">
      <c r="A33" s="9">
        <v>2</v>
      </c>
      <c r="B33" s="34" t="s">
        <v>54</v>
      </c>
      <c r="C33" s="56"/>
      <c r="D33" s="60"/>
      <c r="E33" s="9"/>
      <c r="F33" s="59"/>
      <c r="G33" s="70">
        <f t="shared" ref="G33:K33" si="7">SUM(G34:G39)</f>
        <v>6</v>
      </c>
      <c r="H33" s="70">
        <f t="shared" si="7"/>
        <v>0</v>
      </c>
      <c r="I33" s="70">
        <f t="shared" si="7"/>
        <v>48</v>
      </c>
      <c r="J33" s="5">
        <f t="shared" si="7"/>
        <v>52200000</v>
      </c>
      <c r="K33" s="5">
        <f t="shared" si="7"/>
        <v>0</v>
      </c>
      <c r="L33" s="5">
        <f>SUM(L34:L39)</f>
        <v>52200000</v>
      </c>
      <c r="M33" s="14"/>
      <c r="N33" s="105"/>
    </row>
    <row r="34" spans="1:18" ht="17.25" customHeight="1" x14ac:dyDescent="0.2">
      <c r="A34" s="20" t="s">
        <v>83</v>
      </c>
      <c r="B34" s="21" t="s">
        <v>28</v>
      </c>
      <c r="C34" s="7"/>
      <c r="D34" s="20"/>
      <c r="E34" s="8"/>
      <c r="F34" s="7"/>
      <c r="G34" s="71"/>
      <c r="H34" s="71"/>
      <c r="I34" s="71"/>
      <c r="J34" s="18"/>
      <c r="K34" s="18"/>
      <c r="L34" s="18">
        <f t="shared" si="6"/>
        <v>0</v>
      </c>
      <c r="M34" s="14"/>
      <c r="N34" s="105"/>
    </row>
    <row r="35" spans="1:18" ht="17.25" customHeight="1" x14ac:dyDescent="0.2">
      <c r="A35" s="20" t="s">
        <v>101</v>
      </c>
      <c r="B35" s="37" t="s">
        <v>29</v>
      </c>
      <c r="C35" s="13"/>
      <c r="D35" s="8"/>
      <c r="E35" s="8"/>
      <c r="F35" s="7"/>
      <c r="G35" s="71"/>
      <c r="H35" s="71"/>
      <c r="I35" s="71"/>
      <c r="J35" s="18"/>
      <c r="K35" s="18"/>
      <c r="L35" s="18">
        <f t="shared" si="6"/>
        <v>0</v>
      </c>
      <c r="M35" s="14"/>
      <c r="N35" s="105"/>
    </row>
    <row r="36" spans="1:18" ht="17.25" customHeight="1" x14ac:dyDescent="0.2">
      <c r="A36" s="20" t="s">
        <v>102</v>
      </c>
      <c r="B36" s="37" t="s">
        <v>50</v>
      </c>
      <c r="C36" s="13"/>
      <c r="D36" s="8"/>
      <c r="E36" s="13"/>
      <c r="F36" s="7"/>
      <c r="G36" s="71"/>
      <c r="H36" s="71"/>
      <c r="I36" s="71"/>
      <c r="J36" s="18"/>
      <c r="K36" s="18"/>
      <c r="L36" s="18">
        <f t="shared" si="6"/>
        <v>0</v>
      </c>
      <c r="M36" s="14"/>
      <c r="N36" s="105"/>
    </row>
    <row r="37" spans="1:18" ht="17.25" customHeight="1" x14ac:dyDescent="0.2">
      <c r="A37" s="20" t="s">
        <v>103</v>
      </c>
      <c r="B37" s="24" t="s">
        <v>51</v>
      </c>
      <c r="C37" s="14"/>
      <c r="D37" s="12"/>
      <c r="E37" s="12"/>
      <c r="F37" s="7"/>
      <c r="G37" s="71"/>
      <c r="H37" s="71"/>
      <c r="I37" s="71"/>
      <c r="J37" s="18"/>
      <c r="K37" s="18"/>
      <c r="L37" s="18">
        <f t="shared" si="6"/>
        <v>0</v>
      </c>
      <c r="M37" s="14"/>
      <c r="N37" s="105"/>
    </row>
    <row r="38" spans="1:18" ht="17.25" customHeight="1" x14ac:dyDescent="0.2">
      <c r="A38" s="20" t="s">
        <v>104</v>
      </c>
      <c r="B38" s="24" t="s">
        <v>52</v>
      </c>
      <c r="C38" s="14"/>
      <c r="D38" s="12"/>
      <c r="E38" s="12"/>
      <c r="F38" s="7"/>
      <c r="G38" s="71"/>
      <c r="H38" s="71"/>
      <c r="I38" s="71"/>
      <c r="J38" s="18"/>
      <c r="K38" s="18"/>
      <c r="L38" s="18">
        <f t="shared" si="6"/>
        <v>0</v>
      </c>
      <c r="M38" s="14"/>
      <c r="N38" s="105"/>
    </row>
    <row r="39" spans="1:18" ht="17.25" customHeight="1" x14ac:dyDescent="0.2">
      <c r="A39" s="20" t="s">
        <v>84</v>
      </c>
      <c r="B39" s="37" t="s">
        <v>53</v>
      </c>
      <c r="C39" s="8"/>
      <c r="D39" s="8"/>
      <c r="E39" s="12"/>
      <c r="F39" s="20"/>
      <c r="G39" s="83">
        <f t="shared" ref="G39:K39" si="8">SUM(G40:G43)</f>
        <v>6</v>
      </c>
      <c r="H39" s="83">
        <f t="shared" si="8"/>
        <v>0</v>
      </c>
      <c r="I39" s="83">
        <f t="shared" si="8"/>
        <v>48</v>
      </c>
      <c r="J39" s="81">
        <f t="shared" si="8"/>
        <v>52200000</v>
      </c>
      <c r="K39" s="81">
        <f t="shared" si="8"/>
        <v>0</v>
      </c>
      <c r="L39" s="81">
        <f>SUM(L40:L43)</f>
        <v>52200000</v>
      </c>
      <c r="M39" s="14"/>
      <c r="N39" s="105"/>
    </row>
    <row r="40" spans="1:18" s="29" customFormat="1" ht="24" x14ac:dyDescent="0.25">
      <c r="A40" s="13" t="s">
        <v>85</v>
      </c>
      <c r="B40" s="15" t="s">
        <v>157</v>
      </c>
      <c r="C40" s="13" t="s">
        <v>127</v>
      </c>
      <c r="D40" s="13" t="s">
        <v>115</v>
      </c>
      <c r="E40" s="56" t="s">
        <v>15</v>
      </c>
      <c r="F40" s="7" t="s">
        <v>105</v>
      </c>
      <c r="G40" s="71">
        <v>2</v>
      </c>
      <c r="H40" s="73"/>
      <c r="I40" s="71">
        <v>13</v>
      </c>
      <c r="J40" s="18">
        <v>21300000</v>
      </c>
      <c r="K40" s="18"/>
      <c r="L40" s="18">
        <f t="shared" si="6"/>
        <v>21300000</v>
      </c>
      <c r="M40" s="14" t="s">
        <v>184</v>
      </c>
      <c r="N40" s="105"/>
      <c r="R40" s="140"/>
    </row>
    <row r="41" spans="1:18" s="29" customFormat="1" ht="24" x14ac:dyDescent="0.25">
      <c r="A41" s="13" t="s">
        <v>86</v>
      </c>
      <c r="B41" s="26" t="s">
        <v>158</v>
      </c>
      <c r="C41" s="13" t="s">
        <v>127</v>
      </c>
      <c r="D41" s="13" t="s">
        <v>115</v>
      </c>
      <c r="E41" s="56" t="s">
        <v>15</v>
      </c>
      <c r="F41" s="7" t="s">
        <v>106</v>
      </c>
      <c r="G41" s="71">
        <v>2</v>
      </c>
      <c r="H41" s="73"/>
      <c r="I41" s="71">
        <v>10</v>
      </c>
      <c r="J41" s="18">
        <v>12000000</v>
      </c>
      <c r="K41" s="18"/>
      <c r="L41" s="18">
        <f t="shared" si="6"/>
        <v>12000000</v>
      </c>
      <c r="M41" s="14" t="s">
        <v>185</v>
      </c>
      <c r="N41" s="105"/>
      <c r="R41" s="140"/>
    </row>
    <row r="42" spans="1:18" s="29" customFormat="1" ht="24" x14ac:dyDescent="0.25">
      <c r="A42" s="13" t="s">
        <v>87</v>
      </c>
      <c r="B42" s="26" t="s">
        <v>89</v>
      </c>
      <c r="C42" s="13" t="s">
        <v>127</v>
      </c>
      <c r="D42" s="13" t="s">
        <v>115</v>
      </c>
      <c r="E42" s="56" t="s">
        <v>15</v>
      </c>
      <c r="F42" s="7" t="s">
        <v>107</v>
      </c>
      <c r="G42" s="71">
        <v>1</v>
      </c>
      <c r="H42" s="73"/>
      <c r="I42" s="71">
        <v>10</v>
      </c>
      <c r="J42" s="18">
        <v>9200000</v>
      </c>
      <c r="K42" s="18"/>
      <c r="L42" s="18">
        <f t="shared" si="6"/>
        <v>9200000</v>
      </c>
      <c r="M42" s="14" t="s">
        <v>186</v>
      </c>
      <c r="N42" s="105"/>
      <c r="R42" s="140"/>
    </row>
    <row r="43" spans="1:18" s="29" customFormat="1" ht="24" x14ac:dyDescent="0.25">
      <c r="A43" s="13" t="s">
        <v>88</v>
      </c>
      <c r="B43" s="26" t="s">
        <v>90</v>
      </c>
      <c r="C43" s="13" t="s">
        <v>127</v>
      </c>
      <c r="D43" s="13" t="s">
        <v>115</v>
      </c>
      <c r="E43" s="56" t="s">
        <v>15</v>
      </c>
      <c r="F43" s="7" t="s">
        <v>107</v>
      </c>
      <c r="G43" s="71">
        <v>1</v>
      </c>
      <c r="H43" s="73"/>
      <c r="I43" s="71">
        <v>15</v>
      </c>
      <c r="J43" s="18">
        <v>9700000</v>
      </c>
      <c r="K43" s="18"/>
      <c r="L43" s="18">
        <f t="shared" si="6"/>
        <v>9700000</v>
      </c>
      <c r="M43" s="14" t="s">
        <v>187</v>
      </c>
      <c r="N43" s="105"/>
      <c r="P43" s="96"/>
      <c r="R43" s="140"/>
    </row>
    <row r="44" spans="1:18" ht="17.25" customHeight="1" x14ac:dyDescent="0.2">
      <c r="A44" s="9" t="s">
        <v>55</v>
      </c>
      <c r="B44" s="35" t="s">
        <v>108</v>
      </c>
      <c r="C44" s="13"/>
      <c r="D44" s="9"/>
      <c r="E44" s="9"/>
      <c r="F44" s="59"/>
      <c r="G44" s="70">
        <f t="shared" ref="G44:K44" si="9">SUM(G45:G48)</f>
        <v>10</v>
      </c>
      <c r="H44" s="70">
        <f t="shared" si="9"/>
        <v>0</v>
      </c>
      <c r="I44" s="70">
        <f t="shared" si="9"/>
        <v>288</v>
      </c>
      <c r="J44" s="5">
        <f t="shared" si="9"/>
        <v>146100000</v>
      </c>
      <c r="K44" s="5">
        <f t="shared" si="9"/>
        <v>0</v>
      </c>
      <c r="L44" s="5">
        <f>SUM(L45:L48)</f>
        <v>146100000</v>
      </c>
      <c r="M44" s="14"/>
      <c r="N44" s="105"/>
    </row>
    <row r="45" spans="1:18" ht="17.25" customHeight="1" x14ac:dyDescent="0.2">
      <c r="A45" s="8">
        <v>1</v>
      </c>
      <c r="B45" s="37" t="s">
        <v>56</v>
      </c>
      <c r="C45" s="27"/>
      <c r="D45" s="8"/>
      <c r="E45" s="8"/>
      <c r="F45" s="4"/>
      <c r="G45" s="74"/>
      <c r="H45" s="74"/>
      <c r="I45" s="74"/>
      <c r="J45" s="6"/>
      <c r="K45" s="6"/>
      <c r="L45" s="6">
        <f t="shared" si="6"/>
        <v>0</v>
      </c>
      <c r="M45" s="28"/>
      <c r="N45" s="110"/>
    </row>
    <row r="46" spans="1:18" ht="17.25" customHeight="1" x14ac:dyDescent="0.2">
      <c r="A46" s="8">
        <v>2</v>
      </c>
      <c r="B46" s="37" t="s">
        <v>57</v>
      </c>
      <c r="C46" s="27"/>
      <c r="D46" s="8"/>
      <c r="E46" s="28"/>
      <c r="F46" s="4"/>
      <c r="G46" s="74"/>
      <c r="H46" s="74"/>
      <c r="I46" s="74"/>
      <c r="J46" s="6"/>
      <c r="K46" s="6"/>
      <c r="L46" s="6">
        <f t="shared" si="6"/>
        <v>0</v>
      </c>
      <c r="M46" s="28"/>
      <c r="N46" s="110"/>
    </row>
    <row r="47" spans="1:18" ht="17.25" customHeight="1" x14ac:dyDescent="0.2">
      <c r="A47" s="8">
        <v>3</v>
      </c>
      <c r="B47" s="37" t="s">
        <v>58</v>
      </c>
      <c r="C47" s="27"/>
      <c r="D47" s="8"/>
      <c r="E47" s="28"/>
      <c r="F47" s="4"/>
      <c r="G47" s="74"/>
      <c r="H47" s="74"/>
      <c r="I47" s="74"/>
      <c r="J47" s="6"/>
      <c r="K47" s="6"/>
      <c r="L47" s="6">
        <f t="shared" si="6"/>
        <v>0</v>
      </c>
      <c r="M47" s="28"/>
      <c r="N47" s="110"/>
    </row>
    <row r="48" spans="1:18" ht="17.25" customHeight="1" x14ac:dyDescent="0.2">
      <c r="A48" s="8">
        <v>4</v>
      </c>
      <c r="B48" s="24" t="s">
        <v>53</v>
      </c>
      <c r="C48" s="8"/>
      <c r="D48" s="8"/>
      <c r="E48" s="8"/>
      <c r="F48" s="20"/>
      <c r="G48" s="83">
        <f t="shared" ref="G48:K48" si="10">SUM(G49:G53)</f>
        <v>10</v>
      </c>
      <c r="H48" s="83">
        <f t="shared" si="10"/>
        <v>0</v>
      </c>
      <c r="I48" s="83">
        <f t="shared" si="10"/>
        <v>288</v>
      </c>
      <c r="J48" s="81">
        <f t="shared" si="10"/>
        <v>146100000</v>
      </c>
      <c r="K48" s="81">
        <f t="shared" si="10"/>
        <v>0</v>
      </c>
      <c r="L48" s="81">
        <f>SUM(L49:L53)</f>
        <v>146100000</v>
      </c>
      <c r="M48" s="28"/>
      <c r="N48" s="110"/>
    </row>
    <row r="49" spans="1:18" s="29" customFormat="1" ht="36" x14ac:dyDescent="0.25">
      <c r="A49" s="13" t="s">
        <v>109</v>
      </c>
      <c r="B49" s="26" t="s">
        <v>119</v>
      </c>
      <c r="C49" s="13" t="s">
        <v>128</v>
      </c>
      <c r="D49" s="13" t="s">
        <v>115</v>
      </c>
      <c r="E49" s="13" t="s">
        <v>72</v>
      </c>
      <c r="F49" s="7" t="s">
        <v>118</v>
      </c>
      <c r="G49" s="70">
        <v>2</v>
      </c>
      <c r="H49" s="70"/>
      <c r="I49" s="70">
        <v>18</v>
      </c>
      <c r="J49" s="18">
        <v>14500000</v>
      </c>
      <c r="K49" s="18"/>
      <c r="L49" s="18">
        <f t="shared" si="6"/>
        <v>14500000</v>
      </c>
      <c r="M49" s="14" t="s">
        <v>71</v>
      </c>
      <c r="N49" s="105"/>
      <c r="R49" s="140"/>
    </row>
    <row r="50" spans="1:18" s="29" customFormat="1" ht="36" x14ac:dyDescent="0.25">
      <c r="A50" s="13" t="s">
        <v>133</v>
      </c>
      <c r="B50" s="26" t="s">
        <v>120</v>
      </c>
      <c r="C50" s="13" t="s">
        <v>121</v>
      </c>
      <c r="D50" s="13" t="s">
        <v>115</v>
      </c>
      <c r="E50" s="13" t="s">
        <v>72</v>
      </c>
      <c r="F50" s="7" t="s">
        <v>98</v>
      </c>
      <c r="G50" s="71">
        <v>1</v>
      </c>
      <c r="H50" s="71"/>
      <c r="I50" s="71">
        <v>100</v>
      </c>
      <c r="J50" s="18">
        <v>55000000</v>
      </c>
      <c r="K50" s="18"/>
      <c r="L50" s="18">
        <f t="shared" si="6"/>
        <v>55000000</v>
      </c>
      <c r="M50" s="14" t="s">
        <v>191</v>
      </c>
      <c r="N50" s="105"/>
      <c r="R50" s="140"/>
    </row>
    <row r="51" spans="1:18" s="29" customFormat="1" ht="60" x14ac:dyDescent="0.25">
      <c r="A51" s="13" t="s">
        <v>134</v>
      </c>
      <c r="B51" s="95" t="s">
        <v>223</v>
      </c>
      <c r="C51" s="13" t="s">
        <v>121</v>
      </c>
      <c r="D51" s="13" t="s">
        <v>115</v>
      </c>
      <c r="E51" s="13" t="s">
        <v>129</v>
      </c>
      <c r="F51" s="7" t="s">
        <v>179</v>
      </c>
      <c r="G51" s="71">
        <v>5</v>
      </c>
      <c r="H51" s="71"/>
      <c r="I51" s="71">
        <v>150</v>
      </c>
      <c r="J51" s="18">
        <v>63000000</v>
      </c>
      <c r="K51" s="18"/>
      <c r="L51" s="18">
        <f t="shared" si="6"/>
        <v>63000000</v>
      </c>
      <c r="M51" s="14" t="s">
        <v>222</v>
      </c>
      <c r="N51" s="105"/>
      <c r="R51" s="140"/>
    </row>
    <row r="52" spans="1:18" s="29" customFormat="1" ht="36" x14ac:dyDescent="0.25">
      <c r="A52" s="13" t="s">
        <v>135</v>
      </c>
      <c r="B52" s="26" t="s">
        <v>155</v>
      </c>
      <c r="C52" s="13" t="s">
        <v>130</v>
      </c>
      <c r="D52" s="13" t="s">
        <v>115</v>
      </c>
      <c r="E52" s="13" t="s">
        <v>156</v>
      </c>
      <c r="F52" s="7" t="s">
        <v>154</v>
      </c>
      <c r="G52" s="71">
        <v>1</v>
      </c>
      <c r="H52" s="71"/>
      <c r="I52" s="71">
        <v>10</v>
      </c>
      <c r="J52" s="18">
        <v>6800000</v>
      </c>
      <c r="K52" s="18"/>
      <c r="L52" s="18">
        <f t="shared" si="6"/>
        <v>6800000</v>
      </c>
      <c r="M52" s="14" t="s">
        <v>191</v>
      </c>
      <c r="N52" s="105"/>
      <c r="R52" s="140"/>
    </row>
    <row r="53" spans="1:18" s="29" customFormat="1" ht="48" x14ac:dyDescent="0.25">
      <c r="A53" s="13" t="s">
        <v>136</v>
      </c>
      <c r="B53" s="26" t="s">
        <v>240</v>
      </c>
      <c r="C53" s="13" t="s">
        <v>130</v>
      </c>
      <c r="D53" s="13" t="s">
        <v>115</v>
      </c>
      <c r="E53" s="13" t="s">
        <v>156</v>
      </c>
      <c r="F53" s="7" t="s">
        <v>154</v>
      </c>
      <c r="G53" s="71">
        <v>1</v>
      </c>
      <c r="H53" s="71"/>
      <c r="I53" s="71">
        <v>10</v>
      </c>
      <c r="J53" s="18">
        <v>6800000</v>
      </c>
      <c r="K53" s="18"/>
      <c r="L53" s="18">
        <f t="shared" si="6"/>
        <v>6800000</v>
      </c>
      <c r="M53" s="14" t="s">
        <v>191</v>
      </c>
      <c r="N53" s="105"/>
      <c r="R53" s="140"/>
    </row>
    <row r="54" spans="1:18" ht="17.25" customHeight="1" x14ac:dyDescent="0.2">
      <c r="A54" s="9" t="s">
        <v>110</v>
      </c>
      <c r="B54" s="38" t="s">
        <v>53</v>
      </c>
      <c r="C54" s="13"/>
      <c r="D54" s="9"/>
      <c r="E54" s="11"/>
      <c r="F54" s="59"/>
      <c r="G54" s="70">
        <f t="shared" ref="G54:K54" si="11">SUM(G55:G56)</f>
        <v>5</v>
      </c>
      <c r="H54" s="70">
        <f t="shared" si="11"/>
        <v>0</v>
      </c>
      <c r="I54" s="70">
        <f t="shared" si="11"/>
        <v>0</v>
      </c>
      <c r="J54" s="5">
        <f t="shared" si="11"/>
        <v>23000000</v>
      </c>
      <c r="K54" s="5">
        <f t="shared" si="11"/>
        <v>0</v>
      </c>
      <c r="L54" s="5">
        <f>SUM(L55:L56)</f>
        <v>23000000</v>
      </c>
      <c r="M54" s="14"/>
      <c r="N54" s="105"/>
      <c r="R54" s="142"/>
    </row>
    <row r="55" spans="1:18" s="29" customFormat="1" ht="36.75" customHeight="1" x14ac:dyDescent="0.25">
      <c r="A55" s="13">
        <v>1</v>
      </c>
      <c r="B55" s="15" t="s">
        <v>131</v>
      </c>
      <c r="C55" s="13"/>
      <c r="D55" s="56"/>
      <c r="E55" s="13"/>
      <c r="F55" s="56"/>
      <c r="G55" s="75">
        <v>5</v>
      </c>
      <c r="H55" s="71"/>
      <c r="I55" s="71"/>
      <c r="J55" s="18">
        <v>20000000</v>
      </c>
      <c r="K55" s="18"/>
      <c r="L55" s="18">
        <f>J55</f>
        <v>20000000</v>
      </c>
      <c r="M55" s="13" t="s">
        <v>163</v>
      </c>
      <c r="N55" s="111"/>
      <c r="R55" s="142"/>
    </row>
    <row r="56" spans="1:18" s="29" customFormat="1" ht="36" customHeight="1" x14ac:dyDescent="0.25">
      <c r="A56" s="13">
        <v>2</v>
      </c>
      <c r="B56" s="15" t="s">
        <v>91</v>
      </c>
      <c r="C56" s="13"/>
      <c r="D56" s="56"/>
      <c r="E56" s="13"/>
      <c r="F56" s="56"/>
      <c r="G56" s="75"/>
      <c r="H56" s="71"/>
      <c r="I56" s="71"/>
      <c r="J56" s="18">
        <v>3000000</v>
      </c>
      <c r="K56" s="18"/>
      <c r="L56" s="18">
        <f t="shared" si="6"/>
        <v>3000000</v>
      </c>
      <c r="M56" s="13" t="s">
        <v>164</v>
      </c>
      <c r="N56" s="111"/>
      <c r="R56" s="140"/>
    </row>
    <row r="57" spans="1:18" ht="39" customHeight="1" x14ac:dyDescent="0.2">
      <c r="A57" s="59" t="s">
        <v>60</v>
      </c>
      <c r="B57" s="133" t="s">
        <v>241</v>
      </c>
      <c r="C57" s="134"/>
      <c r="D57" s="135"/>
      <c r="E57" s="19"/>
      <c r="F57" s="19"/>
      <c r="G57" s="69">
        <f>G58+G61+G65+G70+G73+G83+G87+G90+G93+G96+G100</f>
        <v>60</v>
      </c>
      <c r="H57" s="69">
        <f>H58+H61+H65+H70+H73+H83+H87+H90+H93+H96+H100</f>
        <v>0</v>
      </c>
      <c r="I57" s="69">
        <f>I58+I61+I65+I70+I73+I83+I87+I90+I93+I96+I100</f>
        <v>389</v>
      </c>
      <c r="J57" s="85" t="s">
        <v>176</v>
      </c>
      <c r="K57" s="86"/>
      <c r="L57" s="86"/>
      <c r="M57" s="86"/>
      <c r="N57" s="112"/>
    </row>
    <row r="58" spans="1:18" s="80" customFormat="1" ht="20.25" customHeight="1" x14ac:dyDescent="0.2">
      <c r="A58" s="51" t="s">
        <v>140</v>
      </c>
      <c r="B58" s="51"/>
      <c r="C58" s="51"/>
      <c r="D58" s="51"/>
      <c r="E58" s="51"/>
      <c r="F58" s="52"/>
      <c r="G58" s="65">
        <f>SUM(G59:G60)</f>
        <v>9</v>
      </c>
      <c r="H58" s="65">
        <f t="shared" ref="H58:I58" si="12">SUM(H59:H60)</f>
        <v>0</v>
      </c>
      <c r="I58" s="65">
        <f t="shared" si="12"/>
        <v>181</v>
      </c>
      <c r="J58" s="43"/>
      <c r="K58" s="61"/>
      <c r="L58" s="50"/>
      <c r="M58" s="61"/>
      <c r="N58" s="107"/>
      <c r="R58" s="139"/>
    </row>
    <row r="59" spans="1:18" ht="20.25" customHeight="1" x14ac:dyDescent="0.2">
      <c r="A59" s="48" t="s">
        <v>168</v>
      </c>
      <c r="B59" s="46" t="s">
        <v>30</v>
      </c>
      <c r="C59" s="46" t="s">
        <v>46</v>
      </c>
      <c r="D59" s="44" t="s">
        <v>177</v>
      </c>
      <c r="E59" s="44" t="s">
        <v>177</v>
      </c>
      <c r="F59" s="47"/>
      <c r="G59" s="73">
        <v>8</v>
      </c>
      <c r="H59" s="76"/>
      <c r="I59" s="75">
        <v>180</v>
      </c>
      <c r="J59" s="57"/>
      <c r="K59" s="57"/>
      <c r="L59" s="16"/>
      <c r="M59" s="57"/>
      <c r="N59" s="106"/>
    </row>
    <row r="60" spans="1:18" s="29" customFormat="1" ht="36" x14ac:dyDescent="0.25">
      <c r="A60" s="44" t="s">
        <v>171</v>
      </c>
      <c r="B60" s="78" t="s">
        <v>262</v>
      </c>
      <c r="C60" s="78" t="s">
        <v>46</v>
      </c>
      <c r="D60" s="44" t="s">
        <v>177</v>
      </c>
      <c r="E60" s="44" t="s">
        <v>177</v>
      </c>
      <c r="F60" s="79"/>
      <c r="G60" s="73">
        <v>1</v>
      </c>
      <c r="H60" s="73"/>
      <c r="I60" s="76">
        <v>1</v>
      </c>
      <c r="J60" s="57"/>
      <c r="K60" s="57"/>
      <c r="L60" s="16"/>
      <c r="M60" s="14"/>
      <c r="N60" s="105"/>
      <c r="R60" s="140"/>
    </row>
    <row r="61" spans="1:18" s="80" customFormat="1" ht="20.25" customHeight="1" x14ac:dyDescent="0.2">
      <c r="A61" s="51" t="s">
        <v>162</v>
      </c>
      <c r="B61" s="51"/>
      <c r="C61" s="51"/>
      <c r="D61" s="51"/>
      <c r="E61" s="51"/>
      <c r="F61" s="52"/>
      <c r="G61" s="65">
        <f>SUM(G62:G64)</f>
        <v>5</v>
      </c>
      <c r="H61" s="65">
        <f>SUM(H62:H64)</f>
        <v>0</v>
      </c>
      <c r="I61" s="65">
        <f>SUM(I62:I64)</f>
        <v>21</v>
      </c>
      <c r="J61" s="61"/>
      <c r="K61" s="61"/>
      <c r="L61" s="50"/>
      <c r="M61" s="11"/>
      <c r="N61" s="109"/>
      <c r="R61" s="139"/>
    </row>
    <row r="62" spans="1:18" s="29" customFormat="1" ht="24" x14ac:dyDescent="0.25">
      <c r="A62" s="44">
        <v>2.1</v>
      </c>
      <c r="B62" s="78" t="s">
        <v>25</v>
      </c>
      <c r="C62" s="78" t="s">
        <v>142</v>
      </c>
      <c r="D62" s="44" t="s">
        <v>177</v>
      </c>
      <c r="E62" s="44" t="s">
        <v>177</v>
      </c>
      <c r="F62" s="41"/>
      <c r="G62" s="75">
        <v>1</v>
      </c>
      <c r="H62" s="73"/>
      <c r="I62" s="76">
        <v>1</v>
      </c>
      <c r="J62" s="57"/>
      <c r="K62" s="57"/>
      <c r="L62" s="16"/>
      <c r="M62" s="14"/>
      <c r="N62" s="105"/>
      <c r="R62" s="140"/>
    </row>
    <row r="63" spans="1:18" s="29" customFormat="1" ht="24" x14ac:dyDescent="0.25">
      <c r="A63" s="44">
        <v>2.2000000000000002</v>
      </c>
      <c r="B63" s="78" t="s">
        <v>26</v>
      </c>
      <c r="C63" s="78" t="s">
        <v>142</v>
      </c>
      <c r="D63" s="44" t="s">
        <v>177</v>
      </c>
      <c r="E63" s="44" t="s">
        <v>177</v>
      </c>
      <c r="F63" s="41"/>
      <c r="G63" s="75">
        <v>2</v>
      </c>
      <c r="H63" s="73"/>
      <c r="I63" s="76">
        <v>10</v>
      </c>
      <c r="J63" s="57"/>
      <c r="K63" s="57"/>
      <c r="L63" s="16"/>
      <c r="M63" s="14"/>
      <c r="N63" s="105"/>
      <c r="R63" s="140"/>
    </row>
    <row r="64" spans="1:18" s="29" customFormat="1" ht="55.5" customHeight="1" x14ac:dyDescent="0.25">
      <c r="A64" s="44">
        <v>2.2999999999999998</v>
      </c>
      <c r="B64" s="78" t="s">
        <v>36</v>
      </c>
      <c r="C64" s="78" t="s">
        <v>228</v>
      </c>
      <c r="D64" s="44" t="s">
        <v>177</v>
      </c>
      <c r="E64" s="44" t="s">
        <v>177</v>
      </c>
      <c r="F64" s="41"/>
      <c r="G64" s="75">
        <v>2</v>
      </c>
      <c r="H64" s="73"/>
      <c r="I64" s="76">
        <v>10</v>
      </c>
      <c r="J64" s="57"/>
      <c r="K64" s="57"/>
      <c r="L64" s="16"/>
      <c r="M64" s="14"/>
      <c r="N64" s="105"/>
      <c r="R64" s="140"/>
    </row>
    <row r="65" spans="1:18" ht="18" customHeight="1" x14ac:dyDescent="0.2">
      <c r="A65" s="51" t="s">
        <v>161</v>
      </c>
      <c r="B65" s="51"/>
      <c r="C65" s="51"/>
      <c r="D65" s="51"/>
      <c r="E65" s="51"/>
      <c r="F65" s="52"/>
      <c r="G65" s="65">
        <f>SUM(G66:G69)</f>
        <v>6</v>
      </c>
      <c r="H65" s="65">
        <f>SUM(H66:H69)</f>
        <v>0</v>
      </c>
      <c r="I65" s="65">
        <f>SUM(I66:I69)</f>
        <v>22</v>
      </c>
      <c r="J65" s="57"/>
      <c r="K65" s="57"/>
      <c r="L65" s="16"/>
      <c r="M65" s="14"/>
      <c r="N65" s="105"/>
    </row>
    <row r="66" spans="1:18" s="29" customFormat="1" ht="34.5" customHeight="1" x14ac:dyDescent="0.25">
      <c r="A66" s="44">
        <v>3.1</v>
      </c>
      <c r="B66" s="78" t="s">
        <v>17</v>
      </c>
      <c r="C66" s="78" t="s">
        <v>229</v>
      </c>
      <c r="D66" s="44" t="s">
        <v>177</v>
      </c>
      <c r="E66" s="44" t="s">
        <v>177</v>
      </c>
      <c r="F66" s="79"/>
      <c r="G66" s="75">
        <v>1</v>
      </c>
      <c r="H66" s="73"/>
      <c r="I66" s="76">
        <v>4</v>
      </c>
      <c r="J66" s="57"/>
      <c r="K66" s="57"/>
      <c r="L66" s="16"/>
      <c r="M66" s="14"/>
      <c r="N66" s="105"/>
      <c r="R66" s="140"/>
    </row>
    <row r="67" spans="1:18" s="29" customFormat="1" ht="24" x14ac:dyDescent="0.25">
      <c r="A67" s="44">
        <v>3.2</v>
      </c>
      <c r="B67" s="78" t="s">
        <v>18</v>
      </c>
      <c r="C67" s="78" t="s">
        <v>141</v>
      </c>
      <c r="D67" s="44" t="s">
        <v>177</v>
      </c>
      <c r="E67" s="44" t="s">
        <v>177</v>
      </c>
      <c r="F67" s="79"/>
      <c r="G67" s="75">
        <v>1</v>
      </c>
      <c r="H67" s="73"/>
      <c r="I67" s="76">
        <v>2</v>
      </c>
      <c r="J67" s="57"/>
      <c r="K67" s="57"/>
      <c r="L67" s="16"/>
      <c r="M67" s="14"/>
      <c r="N67" s="105"/>
      <c r="R67" s="140"/>
    </row>
    <row r="68" spans="1:18" s="29" customFormat="1" ht="23.25" customHeight="1" x14ac:dyDescent="0.25">
      <c r="A68" s="44">
        <v>3.3</v>
      </c>
      <c r="B68" s="78" t="s">
        <v>19</v>
      </c>
      <c r="C68" s="78" t="s">
        <v>141</v>
      </c>
      <c r="D68" s="44" t="s">
        <v>177</v>
      </c>
      <c r="E68" s="44" t="s">
        <v>177</v>
      </c>
      <c r="F68" s="79"/>
      <c r="G68" s="75">
        <v>1</v>
      </c>
      <c r="H68" s="73"/>
      <c r="I68" s="76">
        <v>1</v>
      </c>
      <c r="J68" s="57"/>
      <c r="K68" s="57"/>
      <c r="L68" s="16"/>
      <c r="M68" s="14"/>
      <c r="N68" s="105"/>
      <c r="R68" s="140"/>
    </row>
    <row r="69" spans="1:18" s="29" customFormat="1" ht="36" x14ac:dyDescent="0.25">
      <c r="A69" s="44">
        <v>3.4</v>
      </c>
      <c r="B69" s="78" t="s">
        <v>45</v>
      </c>
      <c r="C69" s="78" t="s">
        <v>208</v>
      </c>
      <c r="D69" s="44" t="s">
        <v>177</v>
      </c>
      <c r="E69" s="44" t="s">
        <v>177</v>
      </c>
      <c r="F69" s="79"/>
      <c r="G69" s="75">
        <v>3</v>
      </c>
      <c r="H69" s="73"/>
      <c r="I69" s="76">
        <v>15</v>
      </c>
      <c r="J69" s="57"/>
      <c r="K69" s="57"/>
      <c r="L69" s="16"/>
      <c r="M69" s="14"/>
      <c r="N69" s="105"/>
      <c r="R69" s="140"/>
    </row>
    <row r="70" spans="1:18" ht="20.25" customHeight="1" x14ac:dyDescent="0.2">
      <c r="A70" s="51" t="s">
        <v>261</v>
      </c>
      <c r="B70" s="51"/>
      <c r="C70" s="51"/>
      <c r="D70" s="51"/>
      <c r="E70" s="51"/>
      <c r="F70" s="52"/>
      <c r="G70" s="87">
        <f>SUM(G72:G72)</f>
        <v>1</v>
      </c>
      <c r="H70" s="87">
        <f>SUM(H72:H72)</f>
        <v>0</v>
      </c>
      <c r="I70" s="87">
        <f>SUM(I72:I72)</f>
        <v>6</v>
      </c>
      <c r="J70" s="45"/>
      <c r="K70" s="45"/>
      <c r="L70" s="45"/>
      <c r="M70" s="14"/>
      <c r="N70" s="105"/>
    </row>
    <row r="71" spans="1:18" ht="20.25" customHeight="1" x14ac:dyDescent="0.2">
      <c r="A71" s="104">
        <v>4.0999999999999996</v>
      </c>
      <c r="B71" s="102" t="s">
        <v>260</v>
      </c>
      <c r="C71" s="102" t="s">
        <v>192</v>
      </c>
      <c r="D71" s="44" t="s">
        <v>177</v>
      </c>
      <c r="E71" s="44" t="s">
        <v>177</v>
      </c>
      <c r="F71" s="103"/>
      <c r="G71" s="73">
        <v>2</v>
      </c>
      <c r="H71" s="73"/>
      <c r="I71" s="73">
        <v>10</v>
      </c>
      <c r="J71" s="45"/>
      <c r="K71" s="45"/>
      <c r="L71" s="45"/>
      <c r="M71" s="14"/>
      <c r="N71" s="105"/>
    </row>
    <row r="72" spans="1:18" s="29" customFormat="1" ht="36" x14ac:dyDescent="0.25">
      <c r="A72" s="104">
        <v>4.2</v>
      </c>
      <c r="B72" s="78" t="s">
        <v>37</v>
      </c>
      <c r="C72" s="78" t="s">
        <v>209</v>
      </c>
      <c r="D72" s="44" t="s">
        <v>177</v>
      </c>
      <c r="E72" s="44" t="s">
        <v>177</v>
      </c>
      <c r="F72" s="79"/>
      <c r="G72" s="73">
        <v>1</v>
      </c>
      <c r="H72" s="73"/>
      <c r="I72" s="76">
        <v>6</v>
      </c>
      <c r="J72" s="33"/>
      <c r="K72" s="33"/>
      <c r="L72" s="33"/>
      <c r="M72" s="14"/>
      <c r="N72" s="105"/>
      <c r="R72" s="140"/>
    </row>
    <row r="73" spans="1:18" ht="20.25" customHeight="1" x14ac:dyDescent="0.2">
      <c r="A73" s="51" t="s">
        <v>160</v>
      </c>
      <c r="B73" s="51"/>
      <c r="C73" s="51"/>
      <c r="D73" s="51"/>
      <c r="E73" s="51"/>
      <c r="F73" s="52"/>
      <c r="G73" s="87">
        <f>SUM(G74:G82)</f>
        <v>15</v>
      </c>
      <c r="H73" s="87">
        <f>SUM(H74:H82)</f>
        <v>0</v>
      </c>
      <c r="I73" s="87">
        <f>SUM(I74:I82)</f>
        <v>74</v>
      </c>
      <c r="J73" s="45"/>
      <c r="K73" s="45"/>
      <c r="L73" s="45"/>
      <c r="M73" s="14"/>
      <c r="N73" s="105"/>
    </row>
    <row r="74" spans="1:18" s="29" customFormat="1" ht="36" x14ac:dyDescent="0.25">
      <c r="A74" s="44">
        <v>5.0999999999999996</v>
      </c>
      <c r="B74" s="78" t="s">
        <v>231</v>
      </c>
      <c r="C74" s="78" t="s">
        <v>121</v>
      </c>
      <c r="D74" s="44" t="s">
        <v>177</v>
      </c>
      <c r="E74" s="44" t="s">
        <v>177</v>
      </c>
      <c r="F74" s="79"/>
      <c r="G74" s="73">
        <v>2</v>
      </c>
      <c r="H74" s="73"/>
      <c r="I74" s="76">
        <v>30</v>
      </c>
      <c r="J74" s="33"/>
      <c r="K74" s="33"/>
      <c r="L74" s="33"/>
      <c r="M74" s="14"/>
      <c r="N74" s="105"/>
      <c r="R74" s="140"/>
    </row>
    <row r="75" spans="1:18" s="29" customFormat="1" ht="36" x14ac:dyDescent="0.25">
      <c r="A75" s="44">
        <v>5.2</v>
      </c>
      <c r="B75" s="78" t="s">
        <v>230</v>
      </c>
      <c r="C75" s="78" t="s">
        <v>121</v>
      </c>
      <c r="D75" s="44" t="s">
        <v>177</v>
      </c>
      <c r="E75" s="44" t="s">
        <v>177</v>
      </c>
      <c r="F75" s="79"/>
      <c r="G75" s="73">
        <v>2</v>
      </c>
      <c r="H75" s="73"/>
      <c r="I75" s="76">
        <v>15</v>
      </c>
      <c r="J75" s="33"/>
      <c r="K75" s="33"/>
      <c r="L75" s="33"/>
      <c r="M75" s="14"/>
      <c r="N75" s="105"/>
      <c r="R75" s="140"/>
    </row>
    <row r="76" spans="1:18" s="29" customFormat="1" ht="24.75" customHeight="1" x14ac:dyDescent="0.25">
      <c r="A76" s="44">
        <v>5.3</v>
      </c>
      <c r="B76" s="78" t="s">
        <v>146</v>
      </c>
      <c r="C76" s="78" t="s">
        <v>194</v>
      </c>
      <c r="D76" s="44" t="s">
        <v>177</v>
      </c>
      <c r="E76" s="44" t="s">
        <v>177</v>
      </c>
      <c r="F76" s="79"/>
      <c r="G76" s="73">
        <v>2</v>
      </c>
      <c r="H76" s="73"/>
      <c r="I76" s="76">
        <v>4</v>
      </c>
      <c r="J76" s="33"/>
      <c r="K76" s="33"/>
      <c r="L76" s="33"/>
      <c r="M76" s="14"/>
      <c r="N76" s="105"/>
      <c r="R76" s="140"/>
    </row>
    <row r="77" spans="1:18" s="29" customFormat="1" ht="36" x14ac:dyDescent="0.25">
      <c r="A77" s="44">
        <v>5.4</v>
      </c>
      <c r="B77" s="101" t="s">
        <v>38</v>
      </c>
      <c r="C77" s="78" t="s">
        <v>143</v>
      </c>
      <c r="D77" s="44" t="s">
        <v>177</v>
      </c>
      <c r="E77" s="44" t="s">
        <v>177</v>
      </c>
      <c r="F77" s="79"/>
      <c r="G77" s="73">
        <v>1</v>
      </c>
      <c r="H77" s="73"/>
      <c r="I77" s="76">
        <v>2</v>
      </c>
      <c r="J77" s="33"/>
      <c r="K77" s="33"/>
      <c r="L77" s="33"/>
      <c r="M77" s="14"/>
      <c r="N77" s="105"/>
      <c r="R77" s="140"/>
    </row>
    <row r="78" spans="1:18" s="29" customFormat="1" ht="24" x14ac:dyDescent="0.25">
      <c r="A78" s="44">
        <v>5.5</v>
      </c>
      <c r="B78" s="78" t="s">
        <v>147</v>
      </c>
      <c r="C78" s="78" t="s">
        <v>193</v>
      </c>
      <c r="D78" s="44" t="s">
        <v>177</v>
      </c>
      <c r="E78" s="44" t="s">
        <v>177</v>
      </c>
      <c r="F78" s="79"/>
      <c r="G78" s="73">
        <v>2</v>
      </c>
      <c r="H78" s="73"/>
      <c r="I78" s="76">
        <v>7</v>
      </c>
      <c r="J78" s="33"/>
      <c r="K78" s="33"/>
      <c r="L78" s="33"/>
      <c r="M78" s="14"/>
      <c r="N78" s="105"/>
      <c r="R78" s="140"/>
    </row>
    <row r="79" spans="1:18" s="29" customFormat="1" ht="36" customHeight="1" x14ac:dyDescent="0.25">
      <c r="A79" s="44">
        <v>5.6</v>
      </c>
      <c r="B79" s="78" t="s">
        <v>31</v>
      </c>
      <c r="C79" s="78" t="s">
        <v>148</v>
      </c>
      <c r="D79" s="44" t="s">
        <v>177</v>
      </c>
      <c r="E79" s="44" t="s">
        <v>177</v>
      </c>
      <c r="F79" s="79"/>
      <c r="G79" s="73">
        <v>1</v>
      </c>
      <c r="H79" s="73"/>
      <c r="I79" s="76">
        <v>3</v>
      </c>
      <c r="J79" s="33"/>
      <c r="K79" s="33"/>
      <c r="L79" s="33"/>
      <c r="M79" s="14"/>
      <c r="N79" s="105"/>
      <c r="R79" s="140"/>
    </row>
    <row r="80" spans="1:18" s="29" customFormat="1" ht="24.75" customHeight="1" x14ac:dyDescent="0.25">
      <c r="A80" s="44">
        <v>5.7</v>
      </c>
      <c r="B80" s="78" t="s">
        <v>41</v>
      </c>
      <c r="C80" s="78" t="s">
        <v>42</v>
      </c>
      <c r="D80" s="44" t="s">
        <v>177</v>
      </c>
      <c r="E80" s="44" t="s">
        <v>177</v>
      </c>
      <c r="F80" s="79"/>
      <c r="G80" s="73">
        <v>3</v>
      </c>
      <c r="H80" s="73"/>
      <c r="I80" s="76">
        <v>9</v>
      </c>
      <c r="J80" s="33"/>
      <c r="K80" s="33"/>
      <c r="L80" s="33"/>
      <c r="M80" s="14"/>
      <c r="N80" s="105"/>
      <c r="R80" s="140"/>
    </row>
    <row r="81" spans="1:18" s="29" customFormat="1" ht="24" x14ac:dyDescent="0.25">
      <c r="A81" s="44">
        <v>5.8</v>
      </c>
      <c r="B81" s="78" t="s">
        <v>43</v>
      </c>
      <c r="C81" s="78" t="s">
        <v>42</v>
      </c>
      <c r="D81" s="44" t="s">
        <v>177</v>
      </c>
      <c r="E81" s="44" t="s">
        <v>177</v>
      </c>
      <c r="F81" s="79"/>
      <c r="G81" s="73">
        <v>1</v>
      </c>
      <c r="H81" s="73"/>
      <c r="I81" s="76">
        <v>3</v>
      </c>
      <c r="J81" s="33"/>
      <c r="K81" s="33"/>
      <c r="L81" s="33"/>
      <c r="M81" s="14"/>
      <c r="N81" s="105"/>
      <c r="R81" s="140"/>
    </row>
    <row r="82" spans="1:18" s="29" customFormat="1" ht="24" x14ac:dyDescent="0.25">
      <c r="A82" s="44">
        <v>5.9</v>
      </c>
      <c r="B82" s="78" t="s">
        <v>44</v>
      </c>
      <c r="C82" s="78" t="s">
        <v>42</v>
      </c>
      <c r="D82" s="44" t="s">
        <v>177</v>
      </c>
      <c r="E82" s="44" t="s">
        <v>177</v>
      </c>
      <c r="F82" s="79"/>
      <c r="G82" s="73">
        <v>1</v>
      </c>
      <c r="H82" s="73"/>
      <c r="I82" s="76">
        <v>1</v>
      </c>
      <c r="J82" s="33"/>
      <c r="K82" s="33"/>
      <c r="L82" s="33"/>
      <c r="M82" s="14"/>
      <c r="N82" s="105"/>
      <c r="R82" s="140"/>
    </row>
    <row r="83" spans="1:18" ht="20.25" customHeight="1" x14ac:dyDescent="0.2">
      <c r="A83" s="51" t="s">
        <v>159</v>
      </c>
      <c r="B83" s="51"/>
      <c r="C83" s="51"/>
      <c r="D83" s="51"/>
      <c r="E83" s="51"/>
      <c r="F83" s="52"/>
      <c r="G83" s="87">
        <f>SUM(G84:G86)</f>
        <v>9</v>
      </c>
      <c r="H83" s="87">
        <f>SUM(H84:H86)</f>
        <v>0</v>
      </c>
      <c r="I83" s="87">
        <f>SUM(I84:I86)</f>
        <v>36</v>
      </c>
      <c r="J83" s="45"/>
      <c r="K83" s="45"/>
      <c r="L83" s="45"/>
      <c r="M83" s="14"/>
      <c r="N83" s="105"/>
    </row>
    <row r="84" spans="1:18" s="29" customFormat="1" ht="36" x14ac:dyDescent="0.25">
      <c r="A84" s="44">
        <v>6.1</v>
      </c>
      <c r="B84" s="78" t="s">
        <v>149</v>
      </c>
      <c r="C84" s="26" t="s">
        <v>192</v>
      </c>
      <c r="D84" s="44" t="s">
        <v>177</v>
      </c>
      <c r="E84" s="44" t="s">
        <v>177</v>
      </c>
      <c r="F84" s="79"/>
      <c r="G84" s="73">
        <v>5</v>
      </c>
      <c r="H84" s="73"/>
      <c r="I84" s="76">
        <v>20</v>
      </c>
      <c r="J84" s="33"/>
      <c r="K84" s="33"/>
      <c r="L84" s="33"/>
      <c r="M84" s="13"/>
      <c r="N84" s="105"/>
      <c r="R84" s="140"/>
    </row>
    <row r="85" spans="1:18" s="29" customFormat="1" ht="38.25" customHeight="1" x14ac:dyDescent="0.25">
      <c r="A85" s="44">
        <v>6.2</v>
      </c>
      <c r="B85" s="78" t="s">
        <v>150</v>
      </c>
      <c r="C85" s="78" t="s">
        <v>232</v>
      </c>
      <c r="D85" s="44" t="s">
        <v>177</v>
      </c>
      <c r="E85" s="44" t="s">
        <v>177</v>
      </c>
      <c r="F85" s="79"/>
      <c r="G85" s="73">
        <v>2</v>
      </c>
      <c r="H85" s="73"/>
      <c r="I85" s="76">
        <v>6</v>
      </c>
      <c r="J85" s="33"/>
      <c r="K85" s="33"/>
      <c r="L85" s="33"/>
      <c r="M85" s="14"/>
      <c r="N85" s="105"/>
      <c r="R85" s="140"/>
    </row>
    <row r="86" spans="1:18" s="29" customFormat="1" ht="36" x14ac:dyDescent="0.25">
      <c r="A86" s="44">
        <v>6.3</v>
      </c>
      <c r="B86" s="78" t="s">
        <v>32</v>
      </c>
      <c r="C86" s="78" t="s">
        <v>33</v>
      </c>
      <c r="D86" s="44" t="s">
        <v>177</v>
      </c>
      <c r="E86" s="44" t="s">
        <v>177</v>
      </c>
      <c r="F86" s="79"/>
      <c r="G86" s="73">
        <v>2</v>
      </c>
      <c r="H86" s="73"/>
      <c r="I86" s="76">
        <v>10</v>
      </c>
      <c r="J86" s="33"/>
      <c r="K86" s="33"/>
      <c r="L86" s="33"/>
      <c r="M86" s="14"/>
      <c r="N86" s="105"/>
      <c r="R86" s="140"/>
    </row>
    <row r="87" spans="1:18" s="80" customFormat="1" ht="20.25" customHeight="1" x14ac:dyDescent="0.2">
      <c r="A87" s="51" t="s">
        <v>217</v>
      </c>
      <c r="B87" s="51"/>
      <c r="C87" s="51"/>
      <c r="D87" s="51"/>
      <c r="E87" s="51"/>
      <c r="F87" s="52"/>
      <c r="G87" s="87">
        <f>SUM(G88:G89)</f>
        <v>4</v>
      </c>
      <c r="H87" s="87">
        <f t="shared" ref="H87:I87" si="13">SUM(H88:H89)</f>
        <v>0</v>
      </c>
      <c r="I87" s="87">
        <f t="shared" si="13"/>
        <v>18</v>
      </c>
      <c r="J87" s="88"/>
      <c r="K87" s="88"/>
      <c r="L87" s="88"/>
      <c r="M87" s="11"/>
      <c r="N87" s="109"/>
      <c r="R87" s="139"/>
    </row>
    <row r="88" spans="1:18" s="29" customFormat="1" ht="26.25" customHeight="1" x14ac:dyDescent="0.25">
      <c r="A88" s="44">
        <v>7.1</v>
      </c>
      <c r="B88" s="78" t="s">
        <v>47</v>
      </c>
      <c r="C88" s="78" t="s">
        <v>195</v>
      </c>
      <c r="D88" s="44" t="s">
        <v>177</v>
      </c>
      <c r="E88" s="44" t="s">
        <v>177</v>
      </c>
      <c r="F88" s="79"/>
      <c r="G88" s="73">
        <v>2</v>
      </c>
      <c r="H88" s="73"/>
      <c r="I88" s="76">
        <v>15</v>
      </c>
      <c r="J88" s="33"/>
      <c r="K88" s="33"/>
      <c r="L88" s="33"/>
      <c r="M88" s="13"/>
      <c r="N88" s="105"/>
      <c r="O88" s="94"/>
      <c r="R88" s="140"/>
    </row>
    <row r="89" spans="1:18" s="29" customFormat="1" ht="36" x14ac:dyDescent="0.25">
      <c r="A89" s="44">
        <v>7.2</v>
      </c>
      <c r="B89" s="78" t="s">
        <v>152</v>
      </c>
      <c r="C89" s="78" t="s">
        <v>151</v>
      </c>
      <c r="D89" s="44" t="s">
        <v>177</v>
      </c>
      <c r="E89" s="44" t="s">
        <v>177</v>
      </c>
      <c r="F89" s="79"/>
      <c r="G89" s="73">
        <v>2</v>
      </c>
      <c r="H89" s="73"/>
      <c r="I89" s="76">
        <v>3</v>
      </c>
      <c r="J89" s="33"/>
      <c r="K89" s="33"/>
      <c r="L89" s="33"/>
      <c r="M89" s="14"/>
      <c r="N89" s="105"/>
      <c r="R89" s="140"/>
    </row>
    <row r="90" spans="1:18" ht="20.25" customHeight="1" x14ac:dyDescent="0.2">
      <c r="A90" s="51" t="s">
        <v>218</v>
      </c>
      <c r="B90" s="51"/>
      <c r="C90" s="51"/>
      <c r="D90" s="51"/>
      <c r="E90" s="51"/>
      <c r="F90" s="52"/>
      <c r="G90" s="87">
        <f>SUM(G91:G92)</f>
        <v>3</v>
      </c>
      <c r="H90" s="87">
        <f>SUM(H91:H92)</f>
        <v>0</v>
      </c>
      <c r="I90" s="87">
        <f>SUM(I91:I92)</f>
        <v>16</v>
      </c>
      <c r="J90" s="45"/>
      <c r="K90" s="45"/>
      <c r="L90" s="45"/>
      <c r="M90" s="14"/>
      <c r="N90" s="105"/>
    </row>
    <row r="91" spans="1:18" s="29" customFormat="1" ht="24" x14ac:dyDescent="0.25">
      <c r="A91" s="44">
        <v>8.1</v>
      </c>
      <c r="B91" s="78" t="s">
        <v>255</v>
      </c>
      <c r="C91" s="78" t="s">
        <v>145</v>
      </c>
      <c r="D91" s="44" t="s">
        <v>177</v>
      </c>
      <c r="E91" s="44" t="s">
        <v>177</v>
      </c>
      <c r="F91" s="79"/>
      <c r="G91" s="73">
        <v>1</v>
      </c>
      <c r="H91" s="73"/>
      <c r="I91" s="76">
        <v>1</v>
      </c>
      <c r="J91" s="33"/>
      <c r="K91" s="33"/>
      <c r="L91" s="33"/>
      <c r="M91" s="14"/>
      <c r="N91" s="105"/>
      <c r="R91" s="140"/>
    </row>
    <row r="92" spans="1:18" s="29" customFormat="1" ht="26.25" customHeight="1" x14ac:dyDescent="0.25">
      <c r="A92" s="44">
        <v>8.1999999999999993</v>
      </c>
      <c r="B92" s="78" t="s">
        <v>196</v>
      </c>
      <c r="C92" s="78" t="s">
        <v>210</v>
      </c>
      <c r="D92" s="44" t="s">
        <v>177</v>
      </c>
      <c r="E92" s="44" t="s">
        <v>177</v>
      </c>
      <c r="F92" s="79"/>
      <c r="G92" s="73">
        <v>2</v>
      </c>
      <c r="H92" s="73"/>
      <c r="I92" s="76">
        <v>15</v>
      </c>
      <c r="J92" s="33"/>
      <c r="K92" s="33"/>
      <c r="L92" s="33"/>
      <c r="M92" s="14"/>
      <c r="N92" s="105"/>
      <c r="R92" s="140"/>
    </row>
    <row r="93" spans="1:18" ht="20.25" customHeight="1" x14ac:dyDescent="0.2">
      <c r="A93" s="51" t="s">
        <v>219</v>
      </c>
      <c r="B93" s="51"/>
      <c r="C93" s="51"/>
      <c r="D93" s="51"/>
      <c r="E93" s="51"/>
      <c r="F93" s="52"/>
      <c r="G93" s="87">
        <f>SUM(G94:G95)</f>
        <v>3</v>
      </c>
      <c r="H93" s="87">
        <f>SUM(H94:H95)</f>
        <v>0</v>
      </c>
      <c r="I93" s="87">
        <f>SUM(I94:I95)</f>
        <v>7</v>
      </c>
      <c r="J93" s="45"/>
      <c r="K93" s="45"/>
      <c r="L93" s="45"/>
      <c r="M93" s="14"/>
      <c r="N93" s="105"/>
    </row>
    <row r="94" spans="1:18" s="29" customFormat="1" ht="36" x14ac:dyDescent="0.25">
      <c r="A94" s="44">
        <v>9.1</v>
      </c>
      <c r="B94" s="78" t="s">
        <v>182</v>
      </c>
      <c r="C94" s="78" t="s">
        <v>248</v>
      </c>
      <c r="D94" s="44" t="s">
        <v>177</v>
      </c>
      <c r="E94" s="44" t="s">
        <v>177</v>
      </c>
      <c r="F94" s="79"/>
      <c r="G94" s="73">
        <v>1</v>
      </c>
      <c r="H94" s="73"/>
      <c r="I94" s="76">
        <v>2</v>
      </c>
      <c r="J94" s="33"/>
      <c r="K94" s="33"/>
      <c r="L94" s="33"/>
      <c r="M94" s="14"/>
      <c r="N94" s="105"/>
      <c r="R94" s="140"/>
    </row>
    <row r="95" spans="1:18" s="29" customFormat="1" ht="24" x14ac:dyDescent="0.25">
      <c r="A95" s="44">
        <v>9.1999999999999993</v>
      </c>
      <c r="B95" s="78" t="s">
        <v>247</v>
      </c>
      <c r="C95" s="78" t="s">
        <v>249</v>
      </c>
      <c r="D95" s="44" t="s">
        <v>177</v>
      </c>
      <c r="E95" s="44" t="s">
        <v>177</v>
      </c>
      <c r="F95" s="79"/>
      <c r="G95" s="73">
        <v>2</v>
      </c>
      <c r="H95" s="73"/>
      <c r="I95" s="76">
        <v>5</v>
      </c>
      <c r="J95" s="33"/>
      <c r="K95" s="33"/>
      <c r="L95" s="33"/>
      <c r="M95" s="14"/>
      <c r="N95" s="105"/>
      <c r="R95" s="140"/>
    </row>
    <row r="96" spans="1:18" ht="18" customHeight="1" x14ac:dyDescent="0.2">
      <c r="A96" s="51" t="s">
        <v>220</v>
      </c>
      <c r="B96" s="51"/>
      <c r="C96" s="51"/>
      <c r="D96" s="51"/>
      <c r="E96" s="51"/>
      <c r="F96" s="52"/>
      <c r="G96" s="87">
        <f>SUM(G97:G99)</f>
        <v>4</v>
      </c>
      <c r="H96" s="87">
        <f>SUM(H97:H99)</f>
        <v>0</v>
      </c>
      <c r="I96" s="87">
        <f>SUM(I97:I99)</f>
        <v>7</v>
      </c>
      <c r="J96" s="45"/>
      <c r="K96" s="45"/>
      <c r="L96" s="45"/>
      <c r="M96" s="14"/>
      <c r="N96" s="105"/>
    </row>
    <row r="97" spans="1:18" s="29" customFormat="1" ht="48" x14ac:dyDescent="0.25">
      <c r="A97" s="44">
        <v>10.1</v>
      </c>
      <c r="B97" s="78" t="s">
        <v>256</v>
      </c>
      <c r="C97" s="78" t="s">
        <v>145</v>
      </c>
      <c r="D97" s="44" t="s">
        <v>177</v>
      </c>
      <c r="E97" s="44" t="s">
        <v>177</v>
      </c>
      <c r="F97" s="79"/>
      <c r="G97" s="73">
        <v>1</v>
      </c>
      <c r="H97" s="73"/>
      <c r="I97" s="76">
        <v>2</v>
      </c>
      <c r="J97" s="33"/>
      <c r="K97" s="33"/>
      <c r="L97" s="33"/>
      <c r="M97" s="14"/>
      <c r="N97" s="105"/>
      <c r="R97" s="140"/>
    </row>
    <row r="98" spans="1:18" s="29" customFormat="1" ht="36" x14ac:dyDescent="0.25">
      <c r="A98" s="44">
        <v>10.199999999999999</v>
      </c>
      <c r="B98" s="78" t="s">
        <v>257</v>
      </c>
      <c r="C98" s="78" t="s">
        <v>145</v>
      </c>
      <c r="D98" s="44" t="s">
        <v>177</v>
      </c>
      <c r="E98" s="44" t="s">
        <v>177</v>
      </c>
      <c r="F98" s="79"/>
      <c r="G98" s="73">
        <v>2</v>
      </c>
      <c r="H98" s="73"/>
      <c r="I98" s="76">
        <v>4</v>
      </c>
      <c r="J98" s="33"/>
      <c r="K98" s="33"/>
      <c r="L98" s="33"/>
      <c r="M98" s="14"/>
      <c r="N98" s="105"/>
      <c r="R98" s="140"/>
    </row>
    <row r="99" spans="1:18" s="29" customFormat="1" ht="36" x14ac:dyDescent="0.25">
      <c r="A99" s="44">
        <v>10.3</v>
      </c>
      <c r="B99" s="78" t="s">
        <v>258</v>
      </c>
      <c r="C99" s="78" t="s">
        <v>145</v>
      </c>
      <c r="D99" s="44" t="s">
        <v>177</v>
      </c>
      <c r="E99" s="44" t="s">
        <v>177</v>
      </c>
      <c r="F99" s="79"/>
      <c r="G99" s="73">
        <v>1</v>
      </c>
      <c r="H99" s="73"/>
      <c r="I99" s="76">
        <v>1</v>
      </c>
      <c r="J99" s="33"/>
      <c r="K99" s="33"/>
      <c r="L99" s="33"/>
      <c r="M99" s="14"/>
      <c r="N99" s="105"/>
      <c r="R99" s="140"/>
    </row>
    <row r="100" spans="1:18" s="80" customFormat="1" ht="18" customHeight="1" x14ac:dyDescent="0.2">
      <c r="A100" s="51" t="s">
        <v>221</v>
      </c>
      <c r="B100" s="51"/>
      <c r="C100" s="51"/>
      <c r="D100" s="51"/>
      <c r="E100" s="51"/>
      <c r="F100" s="52"/>
      <c r="G100" s="87">
        <f>SUM(G101)</f>
        <v>1</v>
      </c>
      <c r="H100" s="87">
        <f t="shared" ref="H100:I100" si="14">SUM(H101)</f>
        <v>0</v>
      </c>
      <c r="I100" s="87">
        <f t="shared" si="14"/>
        <v>1</v>
      </c>
      <c r="J100" s="88"/>
      <c r="K100" s="88"/>
      <c r="L100" s="88"/>
      <c r="M100" s="11"/>
      <c r="N100" s="109"/>
      <c r="R100" s="139"/>
    </row>
    <row r="101" spans="1:18" s="29" customFormat="1" ht="24" x14ac:dyDescent="0.25">
      <c r="A101" s="44">
        <v>11.1</v>
      </c>
      <c r="B101" s="78" t="s">
        <v>259</v>
      </c>
      <c r="C101" s="78" t="s">
        <v>145</v>
      </c>
      <c r="D101" s="44" t="s">
        <v>177</v>
      </c>
      <c r="E101" s="44" t="s">
        <v>177</v>
      </c>
      <c r="F101" s="79"/>
      <c r="G101" s="73">
        <v>1</v>
      </c>
      <c r="H101" s="73"/>
      <c r="I101" s="76">
        <v>1</v>
      </c>
      <c r="J101" s="33"/>
      <c r="K101" s="33"/>
      <c r="L101" s="33"/>
      <c r="M101" s="14"/>
      <c r="N101" s="105"/>
      <c r="R101" s="140"/>
    </row>
    <row r="102" spans="1:18" ht="33" customHeight="1" x14ac:dyDescent="0.2">
      <c r="A102" s="59" t="s">
        <v>75</v>
      </c>
      <c r="B102" s="133" t="s">
        <v>263</v>
      </c>
      <c r="C102" s="134"/>
      <c r="D102" s="134"/>
      <c r="E102" s="34"/>
      <c r="F102" s="34"/>
      <c r="G102" s="69">
        <f>G103</f>
        <v>41</v>
      </c>
      <c r="H102" s="69">
        <f t="shared" ref="H102" si="15">H103</f>
        <v>0</v>
      </c>
      <c r="I102" s="69">
        <f>I103</f>
        <v>115</v>
      </c>
      <c r="J102" s="61"/>
      <c r="K102" s="61"/>
      <c r="L102" s="61"/>
      <c r="M102" s="14"/>
      <c r="N102" s="105"/>
    </row>
    <row r="103" spans="1:18" ht="18" customHeight="1" x14ac:dyDescent="0.2">
      <c r="A103" s="59" t="s">
        <v>0</v>
      </c>
      <c r="B103" s="43" t="s">
        <v>61</v>
      </c>
      <c r="C103" s="36"/>
      <c r="D103" s="36"/>
      <c r="E103" s="36"/>
      <c r="F103" s="36"/>
      <c r="G103" s="69">
        <f>SUM(G104:G126)</f>
        <v>41</v>
      </c>
      <c r="H103" s="69"/>
      <c r="I103" s="69">
        <f>SUM(I104:I126)</f>
        <v>115</v>
      </c>
      <c r="J103" s="61"/>
      <c r="K103" s="61"/>
      <c r="L103" s="61"/>
      <c r="M103" s="61"/>
      <c r="N103" s="105"/>
    </row>
    <row r="104" spans="1:18" s="29" customFormat="1" ht="24" x14ac:dyDescent="0.25">
      <c r="A104" s="14">
        <v>1</v>
      </c>
      <c r="B104" s="26" t="s">
        <v>62</v>
      </c>
      <c r="C104" s="14" t="s">
        <v>121</v>
      </c>
      <c r="D104" s="44" t="s">
        <v>177</v>
      </c>
      <c r="E104" s="44" t="s">
        <v>177</v>
      </c>
      <c r="F104" s="33"/>
      <c r="G104" s="62">
        <v>1</v>
      </c>
      <c r="H104" s="62"/>
      <c r="I104" s="62">
        <v>3</v>
      </c>
      <c r="J104" s="57"/>
      <c r="K104" s="57"/>
      <c r="L104" s="57"/>
      <c r="M104" s="56"/>
      <c r="N104" s="105"/>
      <c r="R104" s="140"/>
    </row>
    <row r="105" spans="1:18" s="29" customFormat="1" ht="24" x14ac:dyDescent="0.25">
      <c r="A105" s="14">
        <v>2</v>
      </c>
      <c r="B105" s="26" t="s">
        <v>65</v>
      </c>
      <c r="C105" s="14" t="s">
        <v>121</v>
      </c>
      <c r="D105" s="44" t="s">
        <v>177</v>
      </c>
      <c r="E105" s="44" t="s">
        <v>177</v>
      </c>
      <c r="F105" s="33"/>
      <c r="G105" s="71">
        <v>2</v>
      </c>
      <c r="H105" s="71"/>
      <c r="I105" s="72">
        <v>6</v>
      </c>
      <c r="J105" s="57"/>
      <c r="K105" s="57"/>
      <c r="L105" s="57"/>
      <c r="M105" s="56"/>
      <c r="N105" s="105"/>
      <c r="R105" s="140"/>
    </row>
    <row r="106" spans="1:18" s="29" customFormat="1" ht="24" x14ac:dyDescent="0.25">
      <c r="A106" s="14">
        <v>3</v>
      </c>
      <c r="B106" s="15" t="s">
        <v>66</v>
      </c>
      <c r="C106" s="14" t="s">
        <v>121</v>
      </c>
      <c r="D106" s="44" t="s">
        <v>177</v>
      </c>
      <c r="E106" s="44" t="s">
        <v>177</v>
      </c>
      <c r="F106" s="33"/>
      <c r="G106" s="71">
        <v>4</v>
      </c>
      <c r="H106" s="71"/>
      <c r="I106" s="72">
        <v>4</v>
      </c>
      <c r="J106" s="57"/>
      <c r="K106" s="57"/>
      <c r="L106" s="57"/>
      <c r="M106" s="56"/>
      <c r="N106" s="105"/>
      <c r="R106" s="140"/>
    </row>
    <row r="107" spans="1:18" s="29" customFormat="1" ht="28.5" customHeight="1" x14ac:dyDescent="0.25">
      <c r="A107" s="14">
        <v>4</v>
      </c>
      <c r="B107" s="26" t="s">
        <v>67</v>
      </c>
      <c r="C107" s="14" t="s">
        <v>121</v>
      </c>
      <c r="D107" s="44" t="s">
        <v>177</v>
      </c>
      <c r="E107" s="44" t="s">
        <v>177</v>
      </c>
      <c r="F107" s="33"/>
      <c r="G107" s="71">
        <v>3</v>
      </c>
      <c r="H107" s="71"/>
      <c r="I107" s="72">
        <v>6</v>
      </c>
      <c r="J107" s="57"/>
      <c r="K107" s="57"/>
      <c r="L107" s="57"/>
      <c r="M107" s="56"/>
      <c r="N107" s="106"/>
      <c r="R107" s="140"/>
    </row>
    <row r="108" spans="1:18" s="29" customFormat="1" ht="36" x14ac:dyDescent="0.25">
      <c r="A108" s="14">
        <v>5</v>
      </c>
      <c r="B108" s="15" t="s">
        <v>69</v>
      </c>
      <c r="C108" s="14" t="s">
        <v>121</v>
      </c>
      <c r="D108" s="44" t="s">
        <v>177</v>
      </c>
      <c r="E108" s="44" t="s">
        <v>177</v>
      </c>
      <c r="F108" s="33"/>
      <c r="G108" s="71">
        <v>4</v>
      </c>
      <c r="H108" s="71"/>
      <c r="I108" s="72">
        <v>8</v>
      </c>
      <c r="J108" s="57"/>
      <c r="K108" s="57"/>
      <c r="L108" s="57"/>
      <c r="M108" s="56"/>
      <c r="N108" s="105"/>
      <c r="R108" s="140"/>
    </row>
    <row r="109" spans="1:18" s="29" customFormat="1" ht="24" x14ac:dyDescent="0.25">
      <c r="A109" s="14">
        <v>6</v>
      </c>
      <c r="B109" s="33" t="s">
        <v>70</v>
      </c>
      <c r="C109" s="14" t="s">
        <v>121</v>
      </c>
      <c r="D109" s="44" t="s">
        <v>177</v>
      </c>
      <c r="E109" s="44" t="s">
        <v>177</v>
      </c>
      <c r="F109" s="33"/>
      <c r="G109" s="71">
        <v>2</v>
      </c>
      <c r="H109" s="71"/>
      <c r="I109" s="72">
        <v>10</v>
      </c>
      <c r="J109" s="57"/>
      <c r="K109" s="57"/>
      <c r="L109" s="57"/>
      <c r="M109" s="56"/>
      <c r="N109" s="105"/>
      <c r="R109" s="140"/>
    </row>
    <row r="110" spans="1:18" s="29" customFormat="1" ht="36" x14ac:dyDescent="0.25">
      <c r="A110" s="14">
        <v>7</v>
      </c>
      <c r="B110" s="78" t="s">
        <v>73</v>
      </c>
      <c r="C110" s="78" t="s">
        <v>144</v>
      </c>
      <c r="D110" s="44" t="s">
        <v>177</v>
      </c>
      <c r="E110" s="44" t="s">
        <v>177</v>
      </c>
      <c r="F110" s="33"/>
      <c r="G110" s="71">
        <v>2</v>
      </c>
      <c r="H110" s="71"/>
      <c r="I110" s="72">
        <v>3</v>
      </c>
      <c r="J110" s="57"/>
      <c r="K110" s="57"/>
      <c r="L110" s="57"/>
      <c r="M110" s="14"/>
      <c r="N110" s="105"/>
      <c r="R110" s="140"/>
    </row>
    <row r="111" spans="1:18" s="29" customFormat="1" ht="24" x14ac:dyDescent="0.25">
      <c r="A111" s="14">
        <v>8</v>
      </c>
      <c r="B111" s="78" t="s">
        <v>250</v>
      </c>
      <c r="C111" s="78" t="s">
        <v>237</v>
      </c>
      <c r="D111" s="44" t="s">
        <v>177</v>
      </c>
      <c r="E111" s="44" t="s">
        <v>177</v>
      </c>
      <c r="F111" s="99"/>
      <c r="G111" s="71">
        <v>1</v>
      </c>
      <c r="H111" s="71"/>
      <c r="I111" s="72">
        <v>3</v>
      </c>
      <c r="J111" s="57"/>
      <c r="K111" s="57"/>
      <c r="L111" s="57"/>
      <c r="M111" s="14"/>
      <c r="N111" s="105"/>
      <c r="R111" s="140"/>
    </row>
    <row r="112" spans="1:18" s="29" customFormat="1" ht="36" x14ac:dyDescent="0.25">
      <c r="A112" s="14">
        <v>9</v>
      </c>
      <c r="B112" s="78" t="s">
        <v>39</v>
      </c>
      <c r="C112" s="78" t="s">
        <v>205</v>
      </c>
      <c r="D112" s="44" t="s">
        <v>177</v>
      </c>
      <c r="E112" s="44" t="s">
        <v>177</v>
      </c>
      <c r="F112" s="79"/>
      <c r="G112" s="73">
        <v>1</v>
      </c>
      <c r="H112" s="73"/>
      <c r="I112" s="76">
        <v>3</v>
      </c>
      <c r="J112" s="33"/>
      <c r="K112" s="33"/>
      <c r="L112" s="33"/>
      <c r="M112" s="14"/>
      <c r="N112" s="105"/>
      <c r="R112" s="140"/>
    </row>
    <row r="113" spans="1:18" s="29" customFormat="1" ht="36" x14ac:dyDescent="0.25">
      <c r="A113" s="14">
        <v>10</v>
      </c>
      <c r="B113" s="78" t="s">
        <v>40</v>
      </c>
      <c r="C113" s="78" t="s">
        <v>204</v>
      </c>
      <c r="D113" s="44" t="s">
        <v>177</v>
      </c>
      <c r="E113" s="44" t="s">
        <v>177</v>
      </c>
      <c r="F113" s="99"/>
      <c r="G113" s="73">
        <v>2</v>
      </c>
      <c r="H113" s="73"/>
      <c r="I113" s="76">
        <v>9</v>
      </c>
      <c r="J113" s="33"/>
      <c r="K113" s="33"/>
      <c r="L113" s="33"/>
      <c r="M113" s="14"/>
      <c r="N113" s="105"/>
      <c r="R113" s="140"/>
    </row>
    <row r="114" spans="1:18" s="29" customFormat="1" ht="60" x14ac:dyDescent="0.25">
      <c r="A114" s="14">
        <v>11</v>
      </c>
      <c r="B114" s="78" t="s">
        <v>20</v>
      </c>
      <c r="C114" s="78" t="s">
        <v>254</v>
      </c>
      <c r="D114" s="44" t="s">
        <v>177</v>
      </c>
      <c r="E114" s="44" t="s">
        <v>177</v>
      </c>
      <c r="F114" s="79"/>
      <c r="G114" s="73">
        <v>1</v>
      </c>
      <c r="H114" s="73"/>
      <c r="I114" s="76">
        <v>4</v>
      </c>
      <c r="J114" s="33"/>
      <c r="K114" s="33"/>
      <c r="L114" s="33"/>
      <c r="M114" s="14"/>
      <c r="N114" s="105"/>
      <c r="R114" s="140"/>
    </row>
    <row r="115" spans="1:18" s="29" customFormat="1" ht="72" x14ac:dyDescent="0.25">
      <c r="A115" s="14">
        <v>12</v>
      </c>
      <c r="B115" s="78" t="s">
        <v>16</v>
      </c>
      <c r="C115" s="78" t="s">
        <v>253</v>
      </c>
      <c r="D115" s="44" t="s">
        <v>177</v>
      </c>
      <c r="E115" s="44" t="s">
        <v>177</v>
      </c>
      <c r="F115" s="79"/>
      <c r="G115" s="73">
        <v>1</v>
      </c>
      <c r="H115" s="73"/>
      <c r="I115" s="76">
        <v>5</v>
      </c>
      <c r="J115" s="33"/>
      <c r="K115" s="33"/>
      <c r="L115" s="33"/>
      <c r="M115" s="14"/>
      <c r="N115" s="105"/>
      <c r="R115" s="140"/>
    </row>
    <row r="116" spans="1:18" s="29" customFormat="1" ht="53.25" customHeight="1" x14ac:dyDescent="0.25">
      <c r="A116" s="14">
        <v>13</v>
      </c>
      <c r="B116" s="78" t="s">
        <v>74</v>
      </c>
      <c r="C116" s="78" t="s">
        <v>238</v>
      </c>
      <c r="D116" s="44" t="s">
        <v>177</v>
      </c>
      <c r="E116" s="44" t="s">
        <v>177</v>
      </c>
      <c r="F116" s="99"/>
      <c r="G116" s="73">
        <v>2</v>
      </c>
      <c r="H116" s="73"/>
      <c r="I116" s="76">
        <v>10</v>
      </c>
      <c r="J116" s="33"/>
      <c r="K116" s="33"/>
      <c r="L116" s="33"/>
      <c r="M116" s="14"/>
      <c r="N116" s="105"/>
      <c r="R116" s="140"/>
    </row>
    <row r="117" spans="1:18" s="29" customFormat="1" ht="81" customHeight="1" x14ac:dyDescent="0.25">
      <c r="A117" s="14">
        <v>14</v>
      </c>
      <c r="B117" s="78" t="s">
        <v>35</v>
      </c>
      <c r="C117" s="78" t="s">
        <v>238</v>
      </c>
      <c r="D117" s="44" t="s">
        <v>177</v>
      </c>
      <c r="E117" s="44" t="s">
        <v>177</v>
      </c>
      <c r="F117" s="79"/>
      <c r="G117" s="73">
        <v>2</v>
      </c>
      <c r="H117" s="73"/>
      <c r="I117" s="76">
        <v>9</v>
      </c>
      <c r="J117" s="33"/>
      <c r="K117" s="33"/>
      <c r="L117" s="33"/>
      <c r="M117" s="14"/>
      <c r="N117" s="105"/>
      <c r="R117" s="140"/>
    </row>
    <row r="118" spans="1:18" s="29" customFormat="1" ht="36" x14ac:dyDescent="0.25">
      <c r="A118" s="14">
        <v>15</v>
      </c>
      <c r="B118" s="78" t="s">
        <v>252</v>
      </c>
      <c r="C118" s="78" t="s">
        <v>204</v>
      </c>
      <c r="D118" s="44" t="s">
        <v>177</v>
      </c>
      <c r="E118" s="44" t="s">
        <v>177</v>
      </c>
      <c r="F118" s="79"/>
      <c r="G118" s="73">
        <v>2</v>
      </c>
      <c r="H118" s="73"/>
      <c r="I118" s="76">
        <v>6</v>
      </c>
      <c r="J118" s="33"/>
      <c r="K118" s="33"/>
      <c r="L118" s="33"/>
      <c r="M118" s="14"/>
      <c r="N118" s="105"/>
      <c r="R118" s="140"/>
    </row>
    <row r="119" spans="1:18" s="29" customFormat="1" ht="24" x14ac:dyDescent="0.25">
      <c r="A119" s="14">
        <v>16</v>
      </c>
      <c r="B119" s="78" t="s">
        <v>214</v>
      </c>
      <c r="C119" s="78" t="s">
        <v>215</v>
      </c>
      <c r="D119" s="44" t="s">
        <v>177</v>
      </c>
      <c r="E119" s="44" t="s">
        <v>177</v>
      </c>
      <c r="F119" s="99"/>
      <c r="G119" s="73">
        <v>1</v>
      </c>
      <c r="H119" s="73"/>
      <c r="I119" s="76">
        <v>2</v>
      </c>
      <c r="J119" s="33"/>
      <c r="K119" s="33"/>
      <c r="L119" s="33"/>
      <c r="M119" s="14"/>
      <c r="N119" s="105"/>
      <c r="R119" s="140"/>
    </row>
    <row r="120" spans="1:18" s="29" customFormat="1" ht="24" x14ac:dyDescent="0.25">
      <c r="A120" s="14">
        <v>17</v>
      </c>
      <c r="B120" s="78" t="s">
        <v>212</v>
      </c>
      <c r="C120" s="78" t="s">
        <v>215</v>
      </c>
      <c r="D120" s="44" t="s">
        <v>177</v>
      </c>
      <c r="E120" s="44" t="s">
        <v>177</v>
      </c>
      <c r="F120" s="99"/>
      <c r="G120" s="73">
        <v>1</v>
      </c>
      <c r="H120" s="73"/>
      <c r="I120" s="76">
        <v>2</v>
      </c>
      <c r="J120" s="33"/>
      <c r="K120" s="33"/>
      <c r="L120" s="33"/>
      <c r="M120" s="14"/>
      <c r="N120" s="105"/>
      <c r="R120" s="140"/>
    </row>
    <row r="121" spans="1:18" s="29" customFormat="1" ht="24" x14ac:dyDescent="0.25">
      <c r="A121" s="14">
        <v>18</v>
      </c>
      <c r="B121" s="78" t="s">
        <v>213</v>
      </c>
      <c r="C121" s="78" t="s">
        <v>215</v>
      </c>
      <c r="D121" s="44" t="s">
        <v>177</v>
      </c>
      <c r="E121" s="44" t="s">
        <v>177</v>
      </c>
      <c r="F121" s="99"/>
      <c r="G121" s="73">
        <v>1</v>
      </c>
      <c r="H121" s="73"/>
      <c r="I121" s="76">
        <v>2</v>
      </c>
      <c r="J121" s="33"/>
      <c r="K121" s="33"/>
      <c r="L121" s="33"/>
      <c r="M121" s="14"/>
      <c r="N121" s="105"/>
      <c r="R121" s="140"/>
    </row>
    <row r="122" spans="1:18" s="29" customFormat="1" ht="57.75" customHeight="1" x14ac:dyDescent="0.25">
      <c r="A122" s="14">
        <v>19</v>
      </c>
      <c r="B122" s="78" t="s">
        <v>206</v>
      </c>
      <c r="C122" s="100" t="s">
        <v>216</v>
      </c>
      <c r="D122" s="44" t="s">
        <v>177</v>
      </c>
      <c r="E122" s="44" t="s">
        <v>177</v>
      </c>
      <c r="F122" s="99"/>
      <c r="G122" s="73">
        <v>2</v>
      </c>
      <c r="H122" s="73"/>
      <c r="I122" s="76">
        <v>6</v>
      </c>
      <c r="J122" s="33"/>
      <c r="K122" s="33"/>
      <c r="L122" s="33"/>
      <c r="M122" s="14"/>
      <c r="N122" s="105"/>
      <c r="P122" s="13"/>
      <c r="R122" s="140"/>
    </row>
    <row r="123" spans="1:18" s="29" customFormat="1" ht="24" x14ac:dyDescent="0.25">
      <c r="A123" s="14">
        <v>20</v>
      </c>
      <c r="B123" s="78" t="s">
        <v>236</v>
      </c>
      <c r="C123" s="100" t="s">
        <v>235</v>
      </c>
      <c r="D123" s="44" t="s">
        <v>177</v>
      </c>
      <c r="E123" s="44" t="s">
        <v>177</v>
      </c>
      <c r="F123" s="99"/>
      <c r="G123" s="73">
        <v>2</v>
      </c>
      <c r="H123" s="73"/>
      <c r="I123" s="76">
        <v>5</v>
      </c>
      <c r="J123" s="33"/>
      <c r="K123" s="33"/>
      <c r="L123" s="33"/>
      <c r="M123" s="14"/>
      <c r="N123" s="113"/>
      <c r="P123" s="91"/>
      <c r="R123" s="140"/>
    </row>
    <row r="124" spans="1:18" s="29" customFormat="1" ht="24" x14ac:dyDescent="0.25">
      <c r="A124" s="14">
        <v>21</v>
      </c>
      <c r="B124" s="78" t="s">
        <v>233</v>
      </c>
      <c r="C124" s="100" t="s">
        <v>235</v>
      </c>
      <c r="D124" s="44" t="s">
        <v>177</v>
      </c>
      <c r="E124" s="44" t="s">
        <v>177</v>
      </c>
      <c r="F124" s="99"/>
      <c r="G124" s="73">
        <v>2</v>
      </c>
      <c r="H124" s="73"/>
      <c r="I124" s="76">
        <v>4</v>
      </c>
      <c r="J124" s="33"/>
      <c r="K124" s="33"/>
      <c r="L124" s="33"/>
      <c r="M124" s="14"/>
      <c r="N124" s="113"/>
      <c r="P124" s="91"/>
      <c r="R124" s="140"/>
    </row>
    <row r="125" spans="1:18" s="29" customFormat="1" ht="29.25" customHeight="1" x14ac:dyDescent="0.25">
      <c r="A125" s="14">
        <v>22</v>
      </c>
      <c r="B125" s="78" t="s">
        <v>234</v>
      </c>
      <c r="C125" s="100" t="s">
        <v>235</v>
      </c>
      <c r="D125" s="44" t="s">
        <v>177</v>
      </c>
      <c r="E125" s="44" t="s">
        <v>177</v>
      </c>
      <c r="F125" s="99"/>
      <c r="G125" s="73">
        <v>2</v>
      </c>
      <c r="H125" s="73"/>
      <c r="I125" s="76">
        <v>5</v>
      </c>
      <c r="J125" s="33"/>
      <c r="K125" s="33"/>
      <c r="L125" s="33"/>
      <c r="M125" s="14"/>
      <c r="N125" s="113"/>
      <c r="P125" s="91"/>
      <c r="R125" s="140"/>
    </row>
    <row r="126" spans="1:18" s="29" customFormat="1" ht="48" x14ac:dyDescent="0.25">
      <c r="A126" s="14">
        <v>23</v>
      </c>
      <c r="B126" s="33" t="s">
        <v>167</v>
      </c>
      <c r="C126" s="14" t="s">
        <v>121</v>
      </c>
      <c r="D126" s="56" t="s">
        <v>63</v>
      </c>
      <c r="E126" s="44" t="s">
        <v>177</v>
      </c>
      <c r="F126" s="33"/>
      <c r="G126" s="73"/>
      <c r="H126" s="73"/>
      <c r="I126" s="73"/>
      <c r="J126" s="57"/>
      <c r="K126" s="57"/>
      <c r="L126" s="57"/>
      <c r="M126" s="14"/>
      <c r="N126" s="105"/>
      <c r="R126" s="140"/>
    </row>
    <row r="127" spans="1:18" s="29" customFormat="1" ht="18" customHeight="1" x14ac:dyDescent="0.2">
      <c r="A127" s="11" t="s">
        <v>202</v>
      </c>
      <c r="B127" s="115" t="s">
        <v>211</v>
      </c>
      <c r="C127" s="116"/>
      <c r="D127" s="116"/>
      <c r="E127" s="92"/>
      <c r="F127" s="92"/>
      <c r="G127" s="73"/>
      <c r="H127" s="73"/>
      <c r="I127" s="73"/>
      <c r="J127" s="57"/>
      <c r="K127" s="57"/>
      <c r="L127" s="57"/>
      <c r="M127" s="14"/>
      <c r="N127" s="105"/>
      <c r="O127" s="30"/>
      <c r="P127" s="30"/>
      <c r="R127" s="140"/>
    </row>
    <row r="128" spans="1:18" s="29" customFormat="1" ht="24" x14ac:dyDescent="0.25">
      <c r="A128" s="14">
        <v>1</v>
      </c>
      <c r="B128" s="93" t="s">
        <v>242</v>
      </c>
      <c r="C128" s="44" t="s">
        <v>264</v>
      </c>
      <c r="D128" s="44" t="s">
        <v>177</v>
      </c>
      <c r="E128" s="44" t="s">
        <v>177</v>
      </c>
      <c r="F128" s="92"/>
      <c r="G128" s="73">
        <v>1</v>
      </c>
      <c r="H128" s="73"/>
      <c r="I128" s="73">
        <v>5</v>
      </c>
      <c r="J128" s="57"/>
      <c r="K128" s="57"/>
      <c r="L128" s="57"/>
      <c r="M128" s="14"/>
      <c r="N128" s="105"/>
      <c r="R128" s="140"/>
    </row>
    <row r="129" spans="1:18" s="29" customFormat="1" ht="24" x14ac:dyDescent="0.25">
      <c r="A129" s="14">
        <v>2</v>
      </c>
      <c r="B129" s="93" t="s">
        <v>243</v>
      </c>
      <c r="C129" s="44" t="s">
        <v>235</v>
      </c>
      <c r="D129" s="44" t="s">
        <v>177</v>
      </c>
      <c r="E129" s="44" t="s">
        <v>177</v>
      </c>
      <c r="F129" s="92"/>
      <c r="G129" s="73">
        <v>1</v>
      </c>
      <c r="H129" s="73"/>
      <c r="I129" s="73">
        <v>5</v>
      </c>
      <c r="J129" s="57"/>
      <c r="K129" s="57"/>
      <c r="L129" s="57"/>
      <c r="M129" s="14"/>
      <c r="N129" s="105"/>
      <c r="R129" s="140"/>
    </row>
    <row r="130" spans="1:18" s="29" customFormat="1" ht="24" x14ac:dyDescent="0.25">
      <c r="A130" s="14">
        <v>3</v>
      </c>
      <c r="B130" s="93" t="s">
        <v>244</v>
      </c>
      <c r="C130" s="44" t="s">
        <v>235</v>
      </c>
      <c r="D130" s="44" t="s">
        <v>177</v>
      </c>
      <c r="E130" s="44" t="s">
        <v>177</v>
      </c>
      <c r="F130" s="92"/>
      <c r="G130" s="73">
        <v>1</v>
      </c>
      <c r="H130" s="73"/>
      <c r="I130" s="73">
        <v>10</v>
      </c>
      <c r="J130" s="57"/>
      <c r="K130" s="57"/>
      <c r="L130" s="57"/>
      <c r="M130" s="14"/>
      <c r="N130" s="105"/>
      <c r="R130" s="140"/>
    </row>
    <row r="131" spans="1:18" s="29" customFormat="1" ht="19.5" customHeight="1" x14ac:dyDescent="0.25">
      <c r="A131" s="14">
        <v>4</v>
      </c>
      <c r="B131" s="93" t="s">
        <v>245</v>
      </c>
      <c r="C131" s="14" t="s">
        <v>121</v>
      </c>
      <c r="D131" s="44" t="s">
        <v>177</v>
      </c>
      <c r="E131" s="44" t="s">
        <v>177</v>
      </c>
      <c r="F131" s="92"/>
      <c r="G131" s="73">
        <v>3</v>
      </c>
      <c r="H131" s="73"/>
      <c r="I131" s="73">
        <v>60</v>
      </c>
      <c r="J131" s="57"/>
      <c r="K131" s="57"/>
      <c r="L131" s="57"/>
      <c r="M131" s="14"/>
      <c r="N131" s="105"/>
      <c r="R131" s="140"/>
    </row>
    <row r="132" spans="1:18" s="29" customFormat="1" ht="24" x14ac:dyDescent="0.25">
      <c r="A132" s="14">
        <v>5</v>
      </c>
      <c r="B132" s="93" t="s">
        <v>246</v>
      </c>
      <c r="C132" s="14" t="s">
        <v>121</v>
      </c>
      <c r="D132" s="44" t="s">
        <v>177</v>
      </c>
      <c r="E132" s="44" t="s">
        <v>177</v>
      </c>
      <c r="F132" s="92"/>
      <c r="G132" s="73">
        <v>2</v>
      </c>
      <c r="H132" s="73"/>
      <c r="I132" s="73">
        <v>40</v>
      </c>
      <c r="J132" s="57"/>
      <c r="K132" s="57"/>
      <c r="L132" s="57"/>
      <c r="M132" s="14"/>
      <c r="N132" s="105"/>
      <c r="R132" s="140"/>
    </row>
    <row r="133" spans="1:18" s="3" customFormat="1" ht="18.75" customHeight="1" x14ac:dyDescent="0.25">
      <c r="A133" s="11"/>
      <c r="B133" s="11" t="s">
        <v>203</v>
      </c>
      <c r="C133" s="11"/>
      <c r="D133" s="11"/>
      <c r="E133" s="11"/>
      <c r="F133" s="11"/>
      <c r="G133" s="87">
        <f>G7+G57+G103+G127</f>
        <v>156</v>
      </c>
      <c r="H133" s="87">
        <f>H7+H57+H103</f>
        <v>0</v>
      </c>
      <c r="I133" s="87">
        <f>I7+I57+I103</f>
        <v>1301</v>
      </c>
      <c r="J133" s="89">
        <f>J7</f>
        <v>971860000</v>
      </c>
      <c r="K133" s="89">
        <f>K7+K57+K103</f>
        <v>316700000</v>
      </c>
      <c r="L133" s="89">
        <f>L7+L57+L103</f>
        <v>1333560000</v>
      </c>
      <c r="M133" s="11"/>
      <c r="N133" s="109"/>
      <c r="R133" s="143"/>
    </row>
    <row r="134" spans="1:18" x14ac:dyDescent="0.2">
      <c r="L134" s="84"/>
    </row>
    <row r="168" spans="1:14" x14ac:dyDescent="0.2">
      <c r="A168" s="59" t="s">
        <v>75</v>
      </c>
      <c r="B168" s="53" t="s">
        <v>27</v>
      </c>
      <c r="C168" s="54"/>
      <c r="D168" s="54"/>
      <c r="E168" s="54"/>
      <c r="F168" s="54"/>
      <c r="G168" s="54"/>
      <c r="H168" s="55"/>
      <c r="I168" s="65"/>
      <c r="J168" s="61"/>
      <c r="K168" s="61"/>
      <c r="L168" s="61"/>
      <c r="M168" s="61"/>
      <c r="N168" s="107"/>
    </row>
    <row r="169" spans="1:14" ht="60" x14ac:dyDescent="0.2">
      <c r="A169" s="45">
        <v>1</v>
      </c>
      <c r="B169" s="35" t="s">
        <v>62</v>
      </c>
      <c r="C169" s="45" t="s">
        <v>121</v>
      </c>
      <c r="D169" s="56" t="s">
        <v>63</v>
      </c>
      <c r="E169" s="45"/>
      <c r="F169" s="45"/>
      <c r="G169" s="62">
        <v>1</v>
      </c>
      <c r="H169" s="62"/>
      <c r="I169" s="62">
        <v>3</v>
      </c>
      <c r="J169" s="45"/>
      <c r="K169" s="57" t="s">
        <v>64</v>
      </c>
      <c r="L169" s="45"/>
      <c r="M169" s="56" t="s">
        <v>63</v>
      </c>
      <c r="N169" s="105"/>
    </row>
    <row r="170" spans="1:14" ht="60" x14ac:dyDescent="0.2">
      <c r="A170" s="45">
        <v>2</v>
      </c>
      <c r="B170" s="35" t="s">
        <v>65</v>
      </c>
      <c r="C170" s="45"/>
      <c r="D170" s="45"/>
      <c r="E170" s="45"/>
      <c r="F170" s="45"/>
      <c r="G170" s="71">
        <v>2</v>
      </c>
      <c r="H170" s="71"/>
      <c r="I170" s="72">
        <v>6</v>
      </c>
      <c r="J170" s="45"/>
      <c r="K170" s="57" t="s">
        <v>64</v>
      </c>
      <c r="L170" s="45"/>
      <c r="M170" s="56" t="s">
        <v>63</v>
      </c>
      <c r="N170" s="105"/>
    </row>
    <row r="171" spans="1:14" ht="60" x14ac:dyDescent="0.2">
      <c r="A171" s="45">
        <v>3</v>
      </c>
      <c r="B171" s="34" t="s">
        <v>66</v>
      </c>
      <c r="C171" s="45"/>
      <c r="D171" s="45"/>
      <c r="E171" s="45"/>
      <c r="F171" s="45"/>
      <c r="G171" s="71">
        <v>4</v>
      </c>
      <c r="H171" s="71"/>
      <c r="I171" s="72">
        <v>4</v>
      </c>
      <c r="J171" s="45"/>
      <c r="K171" s="57" t="s">
        <v>64</v>
      </c>
      <c r="L171" s="45"/>
      <c r="M171" s="56" t="s">
        <v>63</v>
      </c>
      <c r="N171" s="105"/>
    </row>
    <row r="172" spans="1:14" ht="78.75" x14ac:dyDescent="0.2">
      <c r="A172" s="45">
        <v>4</v>
      </c>
      <c r="B172" s="35" t="s">
        <v>67</v>
      </c>
      <c r="C172" s="45"/>
      <c r="D172" s="45"/>
      <c r="E172" s="45"/>
      <c r="F172" s="45"/>
      <c r="G172" s="71">
        <v>3</v>
      </c>
      <c r="H172" s="71"/>
      <c r="I172" s="72">
        <v>6</v>
      </c>
      <c r="J172" s="45"/>
      <c r="K172" s="57" t="s">
        <v>64</v>
      </c>
      <c r="L172" s="45"/>
      <c r="M172" s="56" t="s">
        <v>63</v>
      </c>
      <c r="N172" s="106" t="s">
        <v>68</v>
      </c>
    </row>
    <row r="173" spans="1:14" ht="60" x14ac:dyDescent="0.2">
      <c r="A173" s="45">
        <v>5</v>
      </c>
      <c r="B173" s="34" t="s">
        <v>69</v>
      </c>
      <c r="C173" s="45"/>
      <c r="D173" s="45"/>
      <c r="E173" s="45"/>
      <c r="F173" s="45"/>
      <c r="G173" s="71">
        <v>4</v>
      </c>
      <c r="H173" s="71"/>
      <c r="I173" s="72">
        <v>8</v>
      </c>
      <c r="J173" s="45"/>
      <c r="K173" s="57" t="s">
        <v>64</v>
      </c>
      <c r="L173" s="45"/>
      <c r="M173" s="56" t="s">
        <v>63</v>
      </c>
      <c r="N173" s="105"/>
    </row>
    <row r="174" spans="1:14" ht="60" x14ac:dyDescent="0.2">
      <c r="A174" s="45">
        <v>6</v>
      </c>
      <c r="B174" s="38" t="s">
        <v>70</v>
      </c>
      <c r="C174" s="45"/>
      <c r="D174" s="45"/>
      <c r="E174" s="45"/>
      <c r="F174" s="45"/>
      <c r="G174" s="71">
        <v>2</v>
      </c>
      <c r="H174" s="71"/>
      <c r="I174" s="72">
        <v>10</v>
      </c>
      <c r="J174" s="45"/>
      <c r="K174" s="57" t="s">
        <v>64</v>
      </c>
      <c r="L174" s="45"/>
      <c r="M174" s="56" t="s">
        <v>63</v>
      </c>
      <c r="N174" s="105"/>
    </row>
    <row r="175" spans="1:14" x14ac:dyDescent="0.2">
      <c r="A175" s="49">
        <v>7</v>
      </c>
      <c r="B175" s="80" t="s">
        <v>167</v>
      </c>
      <c r="D175" s="30"/>
      <c r="G175" s="90"/>
      <c r="H175" s="90"/>
      <c r="I175" s="90"/>
    </row>
  </sheetData>
  <mergeCells count="20">
    <mergeCell ref="I1:N2"/>
    <mergeCell ref="B7:D7"/>
    <mergeCell ref="B57:D57"/>
    <mergeCell ref="B102:D102"/>
    <mergeCell ref="M4:N4"/>
    <mergeCell ref="A1:C2"/>
    <mergeCell ref="B127:D127"/>
    <mergeCell ref="A3:N3"/>
    <mergeCell ref="A5:A6"/>
    <mergeCell ref="B5:B6"/>
    <mergeCell ref="C5:C6"/>
    <mergeCell ref="D5:D6"/>
    <mergeCell ref="E5:E6"/>
    <mergeCell ref="F5:F6"/>
    <mergeCell ref="G5:G6"/>
    <mergeCell ref="H5:H6"/>
    <mergeCell ref="I5:I6"/>
    <mergeCell ref="J5:L5"/>
    <mergeCell ref="M5:M6"/>
    <mergeCell ref="N5:N6"/>
  </mergeCells>
  <phoneticPr fontId="9" type="noConversion"/>
  <pageMargins left="0.43" right="0.2" top="0.46" bottom="0.35" header="0.3" footer="0.3"/>
  <pageSetup paperSize="9" scale="80" fitToHeight="0" orientation="landscape" verticalDpi="0" r:id="rId1"/>
  <headerFooter>
    <oddFooter>&amp;LBM-KHĐTHL-05&amp;CNgày 10/03/2026&amp;RTrang &amp;P/&amp;N</oddFooter>
  </headerFooter>
  <ignoredErrors>
    <ignoredError sqref="J133 L16 L14 L26 L33 L39:L48 J9" formula="1"/>
    <ignoredError sqref="J16" formulaRange="1"/>
    <ignoredError sqref="A59:A60 A49:A55 A34:A39 A24:A29 A16 A12"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D1512-8F6D-4DBE-8AEA-2A66081FCFC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TỔNG HỢP KH ĐTHL 2027</vt:lpstr>
      <vt:lpstr>Sheet1</vt:lpstr>
      <vt:lpstr>'TỔNG HỢP KH ĐTHL 2027'!Print_Titles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Hung</dc:creator>
  <cp:lastModifiedBy>Administrator</cp:lastModifiedBy>
  <cp:lastPrinted>2026-09-24T22:52:25Z</cp:lastPrinted>
  <dcterms:created xsi:type="dcterms:W3CDTF">2026-09-03T07:37:48Z</dcterms:created>
  <dcterms:modified xsi:type="dcterms:W3CDTF">2026-09-24T22:54:10Z</dcterms:modified>
</cp:coreProperties>
</file>